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defaultThemeVersion="202300"/>
  <mc:AlternateContent xmlns:mc="http://schemas.openxmlformats.org/markup-compatibility/2006">
    <mc:Choice Requires="x15">
      <x15ac:absPath xmlns:x15ac="http://schemas.microsoft.com/office/spreadsheetml/2010/11/ac" url="C:\Users\User\Documents\"/>
    </mc:Choice>
  </mc:AlternateContent>
  <xr:revisionPtr revIDLastSave="0" documentId="8_{A702D766-A508-4CA5-B64E-E14537F92A1B}" xr6:coauthVersionLast="47" xr6:coauthVersionMax="47" xr10:uidLastSave="{00000000-0000-0000-0000-000000000000}"/>
  <bookViews>
    <workbookView xWindow="-120" yWindow="-120" windowWidth="29040" windowHeight="15720" activeTab="2" xr2:uid="{5ABBFA4D-F81B-4B53-8BFF-6A9C4B2FE2D1}"/>
  </bookViews>
  <sheets>
    <sheet name="Hospital Patients" sheetId="1" r:id="rId1"/>
    <sheet name="Pivot Tables" sheetId="2" r:id="rId2"/>
    <sheet name="Dashboard" sheetId="3" r:id="rId3"/>
  </sheets>
  <definedNames>
    <definedName name="_xlnm._FilterDatabase" localSheetId="0" hidden="1">'Hospital Patients'!$A$1:$K$1001</definedName>
    <definedName name="kpi_patient">'Pivot Tables'!$B$5</definedName>
    <definedName name="Slicer_Department">#N/A</definedName>
    <definedName name="Slicer_Gender">#N/A</definedName>
    <definedName name="Slicer_Insurance_Coverage">#N/A</definedName>
    <definedName name="Slicer_Years__Admission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5" i="2" l="1"/>
  <c r="F5" i="2"/>
  <c r="E5" i="2"/>
  <c r="D5" i="2"/>
  <c r="C5" i="2"/>
  <c r="B5"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alcChain>
</file>

<file path=xl/sharedStrings.xml><?xml version="1.0" encoding="utf-8"?>
<sst xmlns="http://schemas.openxmlformats.org/spreadsheetml/2006/main" count="6088" uniqueCount="1777">
  <si>
    <t>Patient ID</t>
  </si>
  <si>
    <t>Patient Name</t>
  </si>
  <si>
    <t>Age</t>
  </si>
  <si>
    <t>Gender</t>
  </si>
  <si>
    <t>Admission Date</t>
  </si>
  <si>
    <t>Discharge Date</t>
  </si>
  <si>
    <t>Department</t>
  </si>
  <si>
    <t>Diagnosis</t>
  </si>
  <si>
    <t>Total Bill Amount</t>
  </si>
  <si>
    <t>Insurance Coverage %</t>
  </si>
  <si>
    <t>Payment Status</t>
  </si>
  <si>
    <t>PAT-3001</t>
  </si>
  <si>
    <t>Thomas Martin</t>
  </si>
  <si>
    <t>Male</t>
  </si>
  <si>
    <t>Cardiology</t>
  </si>
  <si>
    <t>Atrial Fibrillation</t>
  </si>
  <si>
    <t>Paid</t>
  </si>
  <si>
    <t>PAT-3002</t>
  </si>
  <si>
    <t>Betty Thompson</t>
  </si>
  <si>
    <t>Female</t>
  </si>
  <si>
    <t>Angina</t>
  </si>
  <si>
    <t>Pending</t>
  </si>
  <si>
    <t>PAT-3003</t>
  </si>
  <si>
    <t>Lisa Rodriguez</t>
  </si>
  <si>
    <t>Emergency</t>
  </si>
  <si>
    <t>Abdominal Pain</t>
  </si>
  <si>
    <t>Partially Paid</t>
  </si>
  <si>
    <t>PAT-3004</t>
  </si>
  <si>
    <t>Donna Jones</t>
  </si>
  <si>
    <t>Concussion</t>
  </si>
  <si>
    <t>PAT-3005</t>
  </si>
  <si>
    <t>Michael Walker</t>
  </si>
  <si>
    <t>General</t>
  </si>
  <si>
    <t>Flu Complications</t>
  </si>
  <si>
    <t>PAT-3006</t>
  </si>
  <si>
    <t>Kenneth Lewis</t>
  </si>
  <si>
    <t>Diabetes Management</t>
  </si>
  <si>
    <t>PAT-3007</t>
  </si>
  <si>
    <t>Linda Smith</t>
  </si>
  <si>
    <t>Arrhythmia</t>
  </si>
  <si>
    <t>PAT-3008</t>
  </si>
  <si>
    <t>Susan Garcia</t>
  </si>
  <si>
    <t>Severe Allergic Reaction</t>
  </si>
  <si>
    <t>PAT-3009</t>
  </si>
  <si>
    <t>James Jones</t>
  </si>
  <si>
    <t>Anemia</t>
  </si>
  <si>
    <t>PAT-3010</t>
  </si>
  <si>
    <t>Christopher Johnson</t>
  </si>
  <si>
    <t>PAT-3011</t>
  </si>
  <si>
    <t>Daniel Thomas</t>
  </si>
  <si>
    <t>Pediatrics</t>
  </si>
  <si>
    <t>RSV</t>
  </si>
  <si>
    <t>PAT-3012</t>
  </si>
  <si>
    <t>Sandra Smith</t>
  </si>
  <si>
    <t>Dehydration</t>
  </si>
  <si>
    <t>PAT-3013</t>
  </si>
  <si>
    <t>Michael Smith</t>
  </si>
  <si>
    <t>PAT-3014</t>
  </si>
  <si>
    <t>Thomas Taylor</t>
  </si>
  <si>
    <t>PAT-3015</t>
  </si>
  <si>
    <t>Jennifer Williams</t>
  </si>
  <si>
    <t>Orthopedics</t>
  </si>
  <si>
    <t>Rotator Cuff Injury</t>
  </si>
  <si>
    <t>PAT-3016</t>
  </si>
  <si>
    <t>Nancy Lee</t>
  </si>
  <si>
    <t>PAT-3017</t>
  </si>
  <si>
    <t>Kevin Miller</t>
  </si>
  <si>
    <t>PAT-3018</t>
  </si>
  <si>
    <t>Elizabeth Moore</t>
  </si>
  <si>
    <t>PAT-3019</t>
  </si>
  <si>
    <t>Carol Rodriguez</t>
  </si>
  <si>
    <t>Neurology</t>
  </si>
  <si>
    <t>Neuropathy</t>
  </si>
  <si>
    <t>PAT-3020</t>
  </si>
  <si>
    <t>Karen Hernandez</t>
  </si>
  <si>
    <t>Knee Replacement</t>
  </si>
  <si>
    <t>PAT-3021</t>
  </si>
  <si>
    <t>Michael Miller</t>
  </si>
  <si>
    <t>ACL Tear</t>
  </si>
  <si>
    <t>PAT-3022</t>
  </si>
  <si>
    <t>Karen Martinez</t>
  </si>
  <si>
    <t>PAT-3023</t>
  </si>
  <si>
    <t>William Wilson</t>
  </si>
  <si>
    <t>Burns</t>
  </si>
  <si>
    <t>PAT-3024</t>
  </si>
  <si>
    <t>Ashley Young</t>
  </si>
  <si>
    <t>PAT-3025</t>
  </si>
  <si>
    <t>Betty Wilson</t>
  </si>
  <si>
    <t>Gastritis</t>
  </si>
  <si>
    <t>PAT-3026</t>
  </si>
  <si>
    <t>Steven Garcia</t>
  </si>
  <si>
    <t>PAT-3027</t>
  </si>
  <si>
    <t>Paul Taylor</t>
  </si>
  <si>
    <t>PAT-3028</t>
  </si>
  <si>
    <t>Daniel Lopez</t>
  </si>
  <si>
    <t>Multiple Sclerosis</t>
  </si>
  <si>
    <t>PAT-3029</t>
  </si>
  <si>
    <t>Joseph Brown</t>
  </si>
  <si>
    <t>Carpal Tunnel</t>
  </si>
  <si>
    <t>PAT-3030</t>
  </si>
  <si>
    <t>Linda Wilson</t>
  </si>
  <si>
    <t>PAT-3031</t>
  </si>
  <si>
    <t>Emily Moore</t>
  </si>
  <si>
    <t>Heart Failure</t>
  </si>
  <si>
    <t>PAT-3032</t>
  </si>
  <si>
    <t>Sarah Wilson</t>
  </si>
  <si>
    <t>PAT-3033</t>
  </si>
  <si>
    <t>Nancy Clark</t>
  </si>
  <si>
    <t>PAT-3034</t>
  </si>
  <si>
    <t>Kevin Clark</t>
  </si>
  <si>
    <t>PAT-3035</t>
  </si>
  <si>
    <t>Joseph Williams</t>
  </si>
  <si>
    <t>Hypertension</t>
  </si>
  <si>
    <t>PAT-3036</t>
  </si>
  <si>
    <t>Jennifer Jackson</t>
  </si>
  <si>
    <t>Pneumonia</t>
  </si>
  <si>
    <t>PAT-3037</t>
  </si>
  <si>
    <t>Elizabeth Rodriguez</t>
  </si>
  <si>
    <t>Asthma</t>
  </si>
  <si>
    <t>PAT-3038</t>
  </si>
  <si>
    <t>Mark Miller</t>
  </si>
  <si>
    <t>Tonsillitis</t>
  </si>
  <si>
    <t>PAT-3039</t>
  </si>
  <si>
    <t>Kenneth Martinez</t>
  </si>
  <si>
    <t>Ear Infection</t>
  </si>
  <si>
    <t>PAT-3040</t>
  </si>
  <si>
    <t>Karen Young</t>
  </si>
  <si>
    <t>PAT-3041</t>
  </si>
  <si>
    <t>Dorothy Ramirez</t>
  </si>
  <si>
    <t>PAT-3042</t>
  </si>
  <si>
    <t>Donna Williams</t>
  </si>
  <si>
    <t>Allergic Reaction</t>
  </si>
  <si>
    <t>PAT-3043</t>
  </si>
  <si>
    <t>Nancy Harris</t>
  </si>
  <si>
    <t>Hip Fracture</t>
  </si>
  <si>
    <t>PAT-3044</t>
  </si>
  <si>
    <t>PAT-3045</t>
  </si>
  <si>
    <t>Michelle Taylor</t>
  </si>
  <si>
    <t>PAT-3046</t>
  </si>
  <si>
    <t>PAT-3047</t>
  </si>
  <si>
    <t>Elizabeth Harris</t>
  </si>
  <si>
    <t>PAT-3048</t>
  </si>
  <si>
    <t>David Wilson</t>
  </si>
  <si>
    <t>Spinal Disc Herniation</t>
  </si>
  <si>
    <t>PAT-3049</t>
  </si>
  <si>
    <t>Kevin Wilson</t>
  </si>
  <si>
    <t>PAT-3050</t>
  </si>
  <si>
    <t>James Wilson</t>
  </si>
  <si>
    <t>PAT-3051</t>
  </si>
  <si>
    <t>Jennifer Perez</t>
  </si>
  <si>
    <t>PAT-3052</t>
  </si>
  <si>
    <t>Mary Johnson</t>
  </si>
  <si>
    <t>PAT-3053</t>
  </si>
  <si>
    <t>Joseph Thomas</t>
  </si>
  <si>
    <t>PAT-3054</t>
  </si>
  <si>
    <t>Anthony Thomas</t>
  </si>
  <si>
    <t>PAT-3055</t>
  </si>
  <si>
    <t>Donna Clark</t>
  </si>
  <si>
    <t>Parkinson's Disease</t>
  </si>
  <si>
    <t>PAT-3056</t>
  </si>
  <si>
    <t>Andrew Jones</t>
  </si>
  <si>
    <t>PAT-3057</t>
  </si>
  <si>
    <t>Jennifer Martinez</t>
  </si>
  <si>
    <t>PAT-3058</t>
  </si>
  <si>
    <t>Mark Lewis</t>
  </si>
  <si>
    <t>PAT-3059</t>
  </si>
  <si>
    <t>Coronary Artery Disease</t>
  </si>
  <si>
    <t>PAT-3060</t>
  </si>
  <si>
    <t>PAT-3061</t>
  </si>
  <si>
    <t>Jessica Thomas</t>
  </si>
  <si>
    <t>PAT-3062</t>
  </si>
  <si>
    <t>Joshua Lee</t>
  </si>
  <si>
    <t>PAT-3063</t>
  </si>
  <si>
    <t>Linda Lopez</t>
  </si>
  <si>
    <t>PAT-3064</t>
  </si>
  <si>
    <t>PAT-3065</t>
  </si>
  <si>
    <t>Betty Garcia</t>
  </si>
  <si>
    <t>PAT-3066</t>
  </si>
  <si>
    <t>Kenneth Wilson</t>
  </si>
  <si>
    <t>PAT-3067</t>
  </si>
  <si>
    <t>Daniel Anderson</t>
  </si>
  <si>
    <t>PAT-3068</t>
  </si>
  <si>
    <t>Jessica Young</t>
  </si>
  <si>
    <t>PAT-3069</t>
  </si>
  <si>
    <t>Michelle Lee</t>
  </si>
  <si>
    <t>PAT-3070</t>
  </si>
  <si>
    <t>Joseph Johnson</t>
  </si>
  <si>
    <t>PAT-3071</t>
  </si>
  <si>
    <t>Paul White</t>
  </si>
  <si>
    <t>PAT-3072</t>
  </si>
  <si>
    <t>Andrew Young</t>
  </si>
  <si>
    <t>PAT-3073</t>
  </si>
  <si>
    <t>Michelle Wilson</t>
  </si>
  <si>
    <t>PAT-3074</t>
  </si>
  <si>
    <t>Kenneth White</t>
  </si>
  <si>
    <t>Stroke</t>
  </si>
  <si>
    <t>PAT-3075</t>
  </si>
  <si>
    <t>Matthew Clark</t>
  </si>
  <si>
    <t>PAT-3076</t>
  </si>
  <si>
    <t>Elizabeth Lewis</t>
  </si>
  <si>
    <t>PAT-3077</t>
  </si>
  <si>
    <t>Mary Thomas</t>
  </si>
  <si>
    <t>PAT-3078</t>
  </si>
  <si>
    <t>PAT-3079</t>
  </si>
  <si>
    <t>Michelle Perez</t>
  </si>
  <si>
    <t>Fracture</t>
  </si>
  <si>
    <t>PAT-3080</t>
  </si>
  <si>
    <t>Betty Walker</t>
  </si>
  <si>
    <t>PAT-3081</t>
  </si>
  <si>
    <t>Sarah Jackson</t>
  </si>
  <si>
    <t>PAT-3082</t>
  </si>
  <si>
    <t>Jessica Thompson</t>
  </si>
  <si>
    <t>PAT-3083</t>
  </si>
  <si>
    <t>Elizabeth Perez</t>
  </si>
  <si>
    <t>PAT-3084</t>
  </si>
  <si>
    <t>Paul Harris</t>
  </si>
  <si>
    <t>PAT-3085</t>
  </si>
  <si>
    <t>Jessica White</t>
  </si>
  <si>
    <t>PAT-3086</t>
  </si>
  <si>
    <t>Betty Moore</t>
  </si>
  <si>
    <t>PAT-3087</t>
  </si>
  <si>
    <t>Ashley Smith</t>
  </si>
  <si>
    <t>Acute Appendicitis</t>
  </si>
  <si>
    <t>PAT-3088</t>
  </si>
  <si>
    <t>Mark Moore</t>
  </si>
  <si>
    <t>PAT-3089</t>
  </si>
  <si>
    <t>Carol Hernandez</t>
  </si>
  <si>
    <t>PAT-3090</t>
  </si>
  <si>
    <t>Barbara Taylor</t>
  </si>
  <si>
    <t>PAT-3091</t>
  </si>
  <si>
    <t>Lisa Brown</t>
  </si>
  <si>
    <t>PAT-3092</t>
  </si>
  <si>
    <t>Barbara Walker</t>
  </si>
  <si>
    <t>PAT-3093</t>
  </si>
  <si>
    <t>Thomas Hernandez</t>
  </si>
  <si>
    <t>UTI</t>
  </si>
  <si>
    <t>PAT-3094</t>
  </si>
  <si>
    <t>Sarah Young</t>
  </si>
  <si>
    <t>Epilepsy</t>
  </si>
  <si>
    <t>PAT-3095</t>
  </si>
  <si>
    <t>David Anderson</t>
  </si>
  <si>
    <t>PAT-3096</t>
  </si>
  <si>
    <t>Mark Thompson</t>
  </si>
  <si>
    <t>PAT-3097</t>
  </si>
  <si>
    <t>Daniel Garcia</t>
  </si>
  <si>
    <t>PAT-3098</t>
  </si>
  <si>
    <t>Michael Ramirez</t>
  </si>
  <si>
    <t>PAT-3099</t>
  </si>
  <si>
    <t>Linda Robinson</t>
  </si>
  <si>
    <t>PAT-3100</t>
  </si>
  <si>
    <t>PAT-3101</t>
  </si>
  <si>
    <t>Matthew Williams</t>
  </si>
  <si>
    <t>PAT-3102</t>
  </si>
  <si>
    <t>Paul Robinson</t>
  </si>
  <si>
    <t>PAT-3103</t>
  </si>
  <si>
    <t>David Walker</t>
  </si>
  <si>
    <t>PAT-3104</t>
  </si>
  <si>
    <t>Daniel White</t>
  </si>
  <si>
    <t>PAT-3105</t>
  </si>
  <si>
    <t>Daniel Walker</t>
  </si>
  <si>
    <t>PAT-3106</t>
  </si>
  <si>
    <t>Lisa Anderson</t>
  </si>
  <si>
    <t>PAT-3107</t>
  </si>
  <si>
    <t>Steven Clark</t>
  </si>
  <si>
    <t>PAT-3108</t>
  </si>
  <si>
    <t>PAT-3109</t>
  </si>
  <si>
    <t>William Brown</t>
  </si>
  <si>
    <t>PAT-3110</t>
  </si>
  <si>
    <t>Christopher Davis</t>
  </si>
  <si>
    <t>PAT-3111</t>
  </si>
  <si>
    <t>PAT-3112</t>
  </si>
  <si>
    <t>Sandra Jackson</t>
  </si>
  <si>
    <t>PAT-3113</t>
  </si>
  <si>
    <t>Sandra Moore</t>
  </si>
  <si>
    <t>PAT-3114</t>
  </si>
  <si>
    <t>Karen Anderson</t>
  </si>
  <si>
    <t>PAT-3115</t>
  </si>
  <si>
    <t>Paul Lopez</t>
  </si>
  <si>
    <t>PAT-3116</t>
  </si>
  <si>
    <t>Lisa Johnson</t>
  </si>
  <si>
    <t>PAT-3117</t>
  </si>
  <si>
    <t>Kenneth Garcia</t>
  </si>
  <si>
    <t>PAT-3118</t>
  </si>
  <si>
    <t>Emily Williams</t>
  </si>
  <si>
    <t>PAT-3119</t>
  </si>
  <si>
    <t>Sandra Young</t>
  </si>
  <si>
    <t>PAT-3120</t>
  </si>
  <si>
    <t>Robert Moore</t>
  </si>
  <si>
    <t>PAT-3121</t>
  </si>
  <si>
    <t>Kenneth Perez</t>
  </si>
  <si>
    <t>PAT-3122</t>
  </si>
  <si>
    <t>Kevin Lewis</t>
  </si>
  <si>
    <t>PAT-3123</t>
  </si>
  <si>
    <t>Christopher Lewis</t>
  </si>
  <si>
    <t>PAT-3124</t>
  </si>
  <si>
    <t>Kenneth Williams</t>
  </si>
  <si>
    <t>Migraine</t>
  </si>
  <si>
    <t>PAT-3125</t>
  </si>
  <si>
    <t>PAT-3126</t>
  </si>
  <si>
    <t>Linda Walker</t>
  </si>
  <si>
    <t>PAT-3127</t>
  </si>
  <si>
    <t>Sarah Davis</t>
  </si>
  <si>
    <t>PAT-3128</t>
  </si>
  <si>
    <t>Jennifer Clark</t>
  </si>
  <si>
    <t>PAT-3129</t>
  </si>
  <si>
    <t>Sarah Hernandez</t>
  </si>
  <si>
    <t>PAT-3130</t>
  </si>
  <si>
    <t>Elizabeth Garcia</t>
  </si>
  <si>
    <t>PAT-3131</t>
  </si>
  <si>
    <t>Karen Moore</t>
  </si>
  <si>
    <t>PAT-3132</t>
  </si>
  <si>
    <t>James Davis</t>
  </si>
  <si>
    <t>PAT-3133</t>
  </si>
  <si>
    <t>Joshua Martin</t>
  </si>
  <si>
    <t>PAT-3134</t>
  </si>
  <si>
    <t>Susan White</t>
  </si>
  <si>
    <t>PAT-3135</t>
  </si>
  <si>
    <t>Jessica Harris</t>
  </si>
  <si>
    <t>PAT-3136</t>
  </si>
  <si>
    <t>James Brown</t>
  </si>
  <si>
    <t>PAT-3137</t>
  </si>
  <si>
    <t>Jessica Lopez</t>
  </si>
  <si>
    <t>PAT-3138</t>
  </si>
  <si>
    <t>Mary Robinson</t>
  </si>
  <si>
    <t>PAT-3139</t>
  </si>
  <si>
    <t>Matthew Davis</t>
  </si>
  <si>
    <t>PAT-3140</t>
  </si>
  <si>
    <t>Christopher Wilson</t>
  </si>
  <si>
    <t>PAT-3141</t>
  </si>
  <si>
    <t>Karen Williams</t>
  </si>
  <si>
    <t>PAT-3142</t>
  </si>
  <si>
    <t>Jennifer Smith</t>
  </si>
  <si>
    <t>PAT-3143</t>
  </si>
  <si>
    <t>Matthew Garcia</t>
  </si>
  <si>
    <t>Chest Pain</t>
  </si>
  <si>
    <t>PAT-3144</t>
  </si>
  <si>
    <t>Michelle Thomas</t>
  </si>
  <si>
    <t>PAT-3145</t>
  </si>
  <si>
    <t>Robert Miller</t>
  </si>
  <si>
    <t>PAT-3146</t>
  </si>
  <si>
    <t>PAT-3147</t>
  </si>
  <si>
    <t>Barbara Wilson</t>
  </si>
  <si>
    <t>PAT-3148</t>
  </si>
  <si>
    <t>Barbara Jones</t>
  </si>
  <si>
    <t>PAT-3149</t>
  </si>
  <si>
    <t>Lisa Williams</t>
  </si>
  <si>
    <t>PAT-3150</t>
  </si>
  <si>
    <t>Jennifer Young</t>
  </si>
  <si>
    <t>PAT-3151</t>
  </si>
  <si>
    <t>Karen Smith</t>
  </si>
  <si>
    <t>PAT-3152</t>
  </si>
  <si>
    <t>Mark Smith</t>
  </si>
  <si>
    <t>PAT-3153</t>
  </si>
  <si>
    <t>Andrew Martinez</t>
  </si>
  <si>
    <t>PAT-3154</t>
  </si>
  <si>
    <t>Betty Williams</t>
  </si>
  <si>
    <t>PAT-3155</t>
  </si>
  <si>
    <t>Robert Jones</t>
  </si>
  <si>
    <t>PAT-3156</t>
  </si>
  <si>
    <t>David Jones</t>
  </si>
  <si>
    <t>PAT-3157</t>
  </si>
  <si>
    <t>Richard Ramirez</t>
  </si>
  <si>
    <t>PAT-3158</t>
  </si>
  <si>
    <t>PAT-3159</t>
  </si>
  <si>
    <t>Linda Brown</t>
  </si>
  <si>
    <t>PAT-3160</t>
  </si>
  <si>
    <t>Carol Thompson</t>
  </si>
  <si>
    <t>PAT-3161</t>
  </si>
  <si>
    <t>Joseph Jackson</t>
  </si>
  <si>
    <t>PAT-3162</t>
  </si>
  <si>
    <t>Richard Rodriguez</t>
  </si>
  <si>
    <t>PAT-3163</t>
  </si>
  <si>
    <t>PAT-3164</t>
  </si>
  <si>
    <t>Elizabeth Williams</t>
  </si>
  <si>
    <t>PAT-3165</t>
  </si>
  <si>
    <t>Lisa Garcia</t>
  </si>
  <si>
    <t>PAT-3166</t>
  </si>
  <si>
    <t>PAT-3167</t>
  </si>
  <si>
    <t>Steven Thomas</t>
  </si>
  <si>
    <t>Bronchitis</t>
  </si>
  <si>
    <t>PAT-3168</t>
  </si>
  <si>
    <t>Ashley Wilson</t>
  </si>
  <si>
    <t>PAT-3169</t>
  </si>
  <si>
    <t>Carol Garcia</t>
  </si>
  <si>
    <t>PAT-3170</t>
  </si>
  <si>
    <t>Richard Williams</t>
  </si>
  <si>
    <t>PAT-3171</t>
  </si>
  <si>
    <t>Mary Martin</t>
  </si>
  <si>
    <t>PAT-3172</t>
  </si>
  <si>
    <t>Richard Jones</t>
  </si>
  <si>
    <t>PAT-3173</t>
  </si>
  <si>
    <t>Brian Taylor</t>
  </si>
  <si>
    <t>PAT-3174</t>
  </si>
  <si>
    <t>Jessica Hernandez</t>
  </si>
  <si>
    <t>PAT-3175</t>
  </si>
  <si>
    <t>Emily Robinson</t>
  </si>
  <si>
    <t>PAT-3176</t>
  </si>
  <si>
    <t>Christopher White</t>
  </si>
  <si>
    <t>PAT-3177</t>
  </si>
  <si>
    <t>James White</t>
  </si>
  <si>
    <t>PAT-3178</t>
  </si>
  <si>
    <t>Lisa Thompson</t>
  </si>
  <si>
    <t>PAT-3179</t>
  </si>
  <si>
    <t>Ashley Walker</t>
  </si>
  <si>
    <t>PAT-3180</t>
  </si>
  <si>
    <t>Jessica Ramirez</t>
  </si>
  <si>
    <t>PAT-3181</t>
  </si>
  <si>
    <t>Daniel Jackson</t>
  </si>
  <si>
    <t>PAT-3182</t>
  </si>
  <si>
    <t>Emily Clark</t>
  </si>
  <si>
    <t>PAT-3183</t>
  </si>
  <si>
    <t>David White</t>
  </si>
  <si>
    <t>PAT-3184</t>
  </si>
  <si>
    <t>Joshua Garcia</t>
  </si>
  <si>
    <t>PAT-3185</t>
  </si>
  <si>
    <t>Robert Lewis</t>
  </si>
  <si>
    <t>PAT-3186</t>
  </si>
  <si>
    <t>Susan Thomas</t>
  </si>
  <si>
    <t>PAT-3187</t>
  </si>
  <si>
    <t>Barbara White</t>
  </si>
  <si>
    <t>PAT-3188</t>
  </si>
  <si>
    <t>Betty Clark</t>
  </si>
  <si>
    <t>PAT-3189</t>
  </si>
  <si>
    <t>Susan Miller</t>
  </si>
  <si>
    <t>PAT-3190</t>
  </si>
  <si>
    <t>PAT-3191</t>
  </si>
  <si>
    <t>Mary Miller</t>
  </si>
  <si>
    <t>PAT-3192</t>
  </si>
  <si>
    <t>Barbara Garcia</t>
  </si>
  <si>
    <t>PAT-3193</t>
  </si>
  <si>
    <t>Lisa Clark</t>
  </si>
  <si>
    <t>PAT-3194</t>
  </si>
  <si>
    <t>Dorothy White</t>
  </si>
  <si>
    <t>PAT-3195</t>
  </si>
  <si>
    <t>Linda Jackson</t>
  </si>
  <si>
    <t>PAT-3196</t>
  </si>
  <si>
    <t>Anthony Thompson</t>
  </si>
  <si>
    <t>PAT-3197</t>
  </si>
  <si>
    <t>PAT-3198</t>
  </si>
  <si>
    <t>PAT-3199</t>
  </si>
  <si>
    <t>Ashley Moore</t>
  </si>
  <si>
    <t>PAT-3200</t>
  </si>
  <si>
    <t>Joshua Rodriguez</t>
  </si>
  <si>
    <t>PAT-3201</t>
  </si>
  <si>
    <t>Lisa Martin</t>
  </si>
  <si>
    <t>PAT-3202</t>
  </si>
  <si>
    <t>Susan Davis</t>
  </si>
  <si>
    <t>PAT-3203</t>
  </si>
  <si>
    <t>Anthony Anderson</t>
  </si>
  <si>
    <t>PAT-3204</t>
  </si>
  <si>
    <t>Kenneth Jones</t>
  </si>
  <si>
    <t>PAT-3205</t>
  </si>
  <si>
    <t>Daniel Young</t>
  </si>
  <si>
    <t>PAT-3206</t>
  </si>
  <si>
    <t>PAT-3207</t>
  </si>
  <si>
    <t>Ashley Brown</t>
  </si>
  <si>
    <t>PAT-3208</t>
  </si>
  <si>
    <t>Anthony Rodriguez</t>
  </si>
  <si>
    <t>PAT-3209</t>
  </si>
  <si>
    <t>Joshua Moore</t>
  </si>
  <si>
    <t>PAT-3210</t>
  </si>
  <si>
    <t>Barbara Young</t>
  </si>
  <si>
    <t>PAT-3211</t>
  </si>
  <si>
    <t>PAT-3212</t>
  </si>
  <si>
    <t>William Perez</t>
  </si>
  <si>
    <t>PAT-3213</t>
  </si>
  <si>
    <t>PAT-3214</t>
  </si>
  <si>
    <t>Mary Taylor</t>
  </si>
  <si>
    <t>PAT-3215</t>
  </si>
  <si>
    <t>Michelle Garcia</t>
  </si>
  <si>
    <t>PAT-3216</t>
  </si>
  <si>
    <t>Michael Perez</t>
  </si>
  <si>
    <t>PAT-3217</t>
  </si>
  <si>
    <t>Carol White</t>
  </si>
  <si>
    <t>PAT-3218</t>
  </si>
  <si>
    <t>Christopher Perez</t>
  </si>
  <si>
    <t>PAT-3219</t>
  </si>
  <si>
    <t>David Moore</t>
  </si>
  <si>
    <t>PAT-3220</t>
  </si>
  <si>
    <t>Emily Walker</t>
  </si>
  <si>
    <t>PAT-3221</t>
  </si>
  <si>
    <t>Jessica Jackson</t>
  </si>
  <si>
    <t>PAT-3222</t>
  </si>
  <si>
    <t>Thomas Miller</t>
  </si>
  <si>
    <t>PAT-3223</t>
  </si>
  <si>
    <t>Kevin Taylor</t>
  </si>
  <si>
    <t>PAT-3224</t>
  </si>
  <si>
    <t>Richard Robinson</t>
  </si>
  <si>
    <t>PAT-3225</t>
  </si>
  <si>
    <t>Michelle Martinez</t>
  </si>
  <si>
    <t>PAT-3226</t>
  </si>
  <si>
    <t>William Young</t>
  </si>
  <si>
    <t>PAT-3227</t>
  </si>
  <si>
    <t>Richard Smith</t>
  </si>
  <si>
    <t>PAT-3228</t>
  </si>
  <si>
    <t>PAT-3229</t>
  </si>
  <si>
    <t>PAT-3230</t>
  </si>
  <si>
    <t>Joshua Taylor</t>
  </si>
  <si>
    <t>PAT-3231</t>
  </si>
  <si>
    <t>Karen Robinson</t>
  </si>
  <si>
    <t>PAT-3232</t>
  </si>
  <si>
    <t>Daniel Harris</t>
  </si>
  <si>
    <t>PAT-3233</t>
  </si>
  <si>
    <t>Sarah Perez</t>
  </si>
  <si>
    <t>PAT-3234</t>
  </si>
  <si>
    <t>Joseph Robinson</t>
  </si>
  <si>
    <t>PAT-3235</t>
  </si>
  <si>
    <t>Kenneth Anderson</t>
  </si>
  <si>
    <t>PAT-3236</t>
  </si>
  <si>
    <t>Ashley Williams</t>
  </si>
  <si>
    <t>PAT-3237</t>
  </si>
  <si>
    <t>Dorothy Taylor</t>
  </si>
  <si>
    <t>PAT-3238</t>
  </si>
  <si>
    <t>William Williams</t>
  </si>
  <si>
    <t>PAT-3239</t>
  </si>
  <si>
    <t>Ashley Thomas</t>
  </si>
  <si>
    <t>PAT-3240</t>
  </si>
  <si>
    <t>Richard Young</t>
  </si>
  <si>
    <t>PAT-3241</t>
  </si>
  <si>
    <t>PAT-3242</t>
  </si>
  <si>
    <t>Susan Brown</t>
  </si>
  <si>
    <t>PAT-3243</t>
  </si>
  <si>
    <t>PAT-3244</t>
  </si>
  <si>
    <t>PAT-3245</t>
  </si>
  <si>
    <t>Karen Ramirez</t>
  </si>
  <si>
    <t>PAT-3246</t>
  </si>
  <si>
    <t>Joseph Perez</t>
  </si>
  <si>
    <t>PAT-3247</t>
  </si>
  <si>
    <t>Elizabeth Jackson</t>
  </si>
  <si>
    <t>PAT-3248</t>
  </si>
  <si>
    <t>Carol Taylor</t>
  </si>
  <si>
    <t>PAT-3249</t>
  </si>
  <si>
    <t>Robert Walker</t>
  </si>
  <si>
    <t>PAT-3250</t>
  </si>
  <si>
    <t>PAT-3251</t>
  </si>
  <si>
    <t>PAT-3252</t>
  </si>
  <si>
    <t>PAT-3253</t>
  </si>
  <si>
    <t>Andrew Walker</t>
  </si>
  <si>
    <t>PAT-3254</t>
  </si>
  <si>
    <t>Linda Hernandez</t>
  </si>
  <si>
    <t>PAT-3255</t>
  </si>
  <si>
    <t>Mark Clark</t>
  </si>
  <si>
    <t>PAT-3256</t>
  </si>
  <si>
    <t>Brian Wilson</t>
  </si>
  <si>
    <t>PAT-3257</t>
  </si>
  <si>
    <t>Emily Thomas</t>
  </si>
  <si>
    <t>PAT-3258</t>
  </si>
  <si>
    <t>Sandra Brown</t>
  </si>
  <si>
    <t>PAT-3259</t>
  </si>
  <si>
    <t>Dorothy Harris</t>
  </si>
  <si>
    <t>PAT-3260</t>
  </si>
  <si>
    <t>Ashley Rodriguez</t>
  </si>
  <si>
    <t>PAT-3261</t>
  </si>
  <si>
    <t>PAT-3262</t>
  </si>
  <si>
    <t>David Rodriguez</t>
  </si>
  <si>
    <t>PAT-3263</t>
  </si>
  <si>
    <t>Karen Harris</t>
  </si>
  <si>
    <t>PAT-3264</t>
  </si>
  <si>
    <t>PAT-3265</t>
  </si>
  <si>
    <t>Emily Young</t>
  </si>
  <si>
    <t>PAT-3266</t>
  </si>
  <si>
    <t>William Clark</t>
  </si>
  <si>
    <t>PAT-3267</t>
  </si>
  <si>
    <t>James Hernandez</t>
  </si>
  <si>
    <t>PAT-3268</t>
  </si>
  <si>
    <t>Elizabeth White</t>
  </si>
  <si>
    <t>PAT-3269</t>
  </si>
  <si>
    <t>Matthew Martin</t>
  </si>
  <si>
    <t>PAT-3270</t>
  </si>
  <si>
    <t>Nancy Garcia</t>
  </si>
  <si>
    <t>PAT-3271</t>
  </si>
  <si>
    <t>Betty Anderson</t>
  </si>
  <si>
    <t>PAT-3272</t>
  </si>
  <si>
    <t>PAT-3273</t>
  </si>
  <si>
    <t>Mark Martinez</t>
  </si>
  <si>
    <t>PAT-3274</t>
  </si>
  <si>
    <t>PAT-3275</t>
  </si>
  <si>
    <t>PAT-3276</t>
  </si>
  <si>
    <t>Elizabeth Walker</t>
  </si>
  <si>
    <t>PAT-3277</t>
  </si>
  <si>
    <t>Kimberly White</t>
  </si>
  <si>
    <t>PAT-3278</t>
  </si>
  <si>
    <t>Michelle Hernandez</t>
  </si>
  <si>
    <t>PAT-3279</t>
  </si>
  <si>
    <t>Michael Moore</t>
  </si>
  <si>
    <t>PAT-3280</t>
  </si>
  <si>
    <t>Emily Johnson</t>
  </si>
  <si>
    <t>PAT-3281</t>
  </si>
  <si>
    <t>Karen Davis</t>
  </si>
  <si>
    <t>PAT-3282</t>
  </si>
  <si>
    <t>Anthony Wilson</t>
  </si>
  <si>
    <t>PAT-3283</t>
  </si>
  <si>
    <t>PAT-3284</t>
  </si>
  <si>
    <t>Daniel Perez</t>
  </si>
  <si>
    <t>PAT-3285</t>
  </si>
  <si>
    <t>Michelle Harris</t>
  </si>
  <si>
    <t>PAT-3286</t>
  </si>
  <si>
    <t>Robert Johnson</t>
  </si>
  <si>
    <t>PAT-3287</t>
  </si>
  <si>
    <t>Susan Harris</t>
  </si>
  <si>
    <t>PAT-3288</t>
  </si>
  <si>
    <t>Mark Jones</t>
  </si>
  <si>
    <t>PAT-3289</t>
  </si>
  <si>
    <t>Thomas Young</t>
  </si>
  <si>
    <t>PAT-3290</t>
  </si>
  <si>
    <t>Joshua Johnson</t>
  </si>
  <si>
    <t>PAT-3291</t>
  </si>
  <si>
    <t>Joshua Clark</t>
  </si>
  <si>
    <t>PAT-3292</t>
  </si>
  <si>
    <t>Kimberly Rodriguez</t>
  </si>
  <si>
    <t>PAT-3293</t>
  </si>
  <si>
    <t>Nancy Johnson</t>
  </si>
  <si>
    <t>PAT-3294</t>
  </si>
  <si>
    <t>Michelle Martin</t>
  </si>
  <si>
    <t>PAT-3295</t>
  </si>
  <si>
    <t>PAT-3296</t>
  </si>
  <si>
    <t>PAT-3297</t>
  </si>
  <si>
    <t>Thomas Walker</t>
  </si>
  <si>
    <t>PAT-3298</t>
  </si>
  <si>
    <t>Kimberly Smith</t>
  </si>
  <si>
    <t>PAT-3299</t>
  </si>
  <si>
    <t>Betty Robinson</t>
  </si>
  <si>
    <t>PAT-3300</t>
  </si>
  <si>
    <t>Elizabeth Brown</t>
  </si>
  <si>
    <t>PAT-3301</t>
  </si>
  <si>
    <t>Anthony Garcia</t>
  </si>
  <si>
    <t>PAT-3302</t>
  </si>
  <si>
    <t>Barbara Davis</t>
  </si>
  <si>
    <t>PAT-3303</t>
  </si>
  <si>
    <t>William Rodriguez</t>
  </si>
  <si>
    <t>PAT-3304</t>
  </si>
  <si>
    <t>Robert Lee</t>
  </si>
  <si>
    <t>PAT-3305</t>
  </si>
  <si>
    <t>PAT-3306</t>
  </si>
  <si>
    <t>Barbara Clark</t>
  </si>
  <si>
    <t>PAT-3307</t>
  </si>
  <si>
    <t>Matthew Anderson</t>
  </si>
  <si>
    <t>PAT-3308</t>
  </si>
  <si>
    <t>Joseph Moore</t>
  </si>
  <si>
    <t>PAT-3309</t>
  </si>
  <si>
    <t>David Thomas</t>
  </si>
  <si>
    <t>PAT-3310</t>
  </si>
  <si>
    <t>Daniel Johnson</t>
  </si>
  <si>
    <t>PAT-3311</t>
  </si>
  <si>
    <t>Anthony Johnson</t>
  </si>
  <si>
    <t>PAT-3312</t>
  </si>
  <si>
    <t>Carol Brown</t>
  </si>
  <si>
    <t>PAT-3313</t>
  </si>
  <si>
    <t>Mark Brown</t>
  </si>
  <si>
    <t>PAT-3314</t>
  </si>
  <si>
    <t>Elizabeth Taylor</t>
  </si>
  <si>
    <t>PAT-3315</t>
  </si>
  <si>
    <t>Brian Lewis</t>
  </si>
  <si>
    <t>PAT-3316</t>
  </si>
  <si>
    <t>PAT-3317</t>
  </si>
  <si>
    <t>Anthony Walker</t>
  </si>
  <si>
    <t>PAT-3318</t>
  </si>
  <si>
    <t>PAT-3319</t>
  </si>
  <si>
    <t>Brian Ramirez</t>
  </si>
  <si>
    <t>PAT-3320</t>
  </si>
  <si>
    <t>PAT-3321</t>
  </si>
  <si>
    <t>Ashley Jackson</t>
  </si>
  <si>
    <t>PAT-3322</t>
  </si>
  <si>
    <t>James Thomas</t>
  </si>
  <si>
    <t>PAT-3323</t>
  </si>
  <si>
    <t>Susan Lee</t>
  </si>
  <si>
    <t>PAT-3324</t>
  </si>
  <si>
    <t>Betty Jones</t>
  </si>
  <si>
    <t>PAT-3325</t>
  </si>
  <si>
    <t>Lisa Martinez</t>
  </si>
  <si>
    <t>PAT-3326</t>
  </si>
  <si>
    <t>Ashley Martin</t>
  </si>
  <si>
    <t>PAT-3327</t>
  </si>
  <si>
    <t>Kevin Lopez</t>
  </si>
  <si>
    <t>PAT-3328</t>
  </si>
  <si>
    <t>Betty Harris</t>
  </si>
  <si>
    <t>PAT-3329</t>
  </si>
  <si>
    <t>PAT-3330</t>
  </si>
  <si>
    <t>PAT-3331</t>
  </si>
  <si>
    <t>PAT-3332</t>
  </si>
  <si>
    <t>PAT-3333</t>
  </si>
  <si>
    <t>Susan Martin</t>
  </si>
  <si>
    <t>PAT-3334</t>
  </si>
  <si>
    <t>PAT-3335</t>
  </si>
  <si>
    <t>PAT-3336</t>
  </si>
  <si>
    <t>David Clark</t>
  </si>
  <si>
    <t>PAT-3337</t>
  </si>
  <si>
    <t>Andrew Moore</t>
  </si>
  <si>
    <t>PAT-3338</t>
  </si>
  <si>
    <t>PAT-3339</t>
  </si>
  <si>
    <t>PAT-3340</t>
  </si>
  <si>
    <t>PAT-3341</t>
  </si>
  <si>
    <t>Kenneth Smith</t>
  </si>
  <si>
    <t>PAT-3342</t>
  </si>
  <si>
    <t>Sarah Robinson</t>
  </si>
  <si>
    <t>PAT-3343</t>
  </si>
  <si>
    <t>Jennifer Lopez</t>
  </si>
  <si>
    <t>PAT-3344</t>
  </si>
  <si>
    <t>Sandra Robinson</t>
  </si>
  <si>
    <t>PAT-3345</t>
  </si>
  <si>
    <t>PAT-3346</t>
  </si>
  <si>
    <t>Susan Jackson</t>
  </si>
  <si>
    <t>PAT-3347</t>
  </si>
  <si>
    <t>Robert Martin</t>
  </si>
  <si>
    <t>PAT-3348</t>
  </si>
  <si>
    <t>Brian Robinson</t>
  </si>
  <si>
    <t>PAT-3349</t>
  </si>
  <si>
    <t>Andrew Lewis</t>
  </si>
  <si>
    <t>PAT-3350</t>
  </si>
  <si>
    <t>Kenneth Taylor</t>
  </si>
  <si>
    <t>PAT-3351</t>
  </si>
  <si>
    <t>Jennifer Hernandez</t>
  </si>
  <si>
    <t>PAT-3352</t>
  </si>
  <si>
    <t>Sarah Anderson</t>
  </si>
  <si>
    <t>PAT-3353</t>
  </si>
  <si>
    <t>Mary Martinez</t>
  </si>
  <si>
    <t>PAT-3354</t>
  </si>
  <si>
    <t>PAT-3355</t>
  </si>
  <si>
    <t>Lisa Thomas</t>
  </si>
  <si>
    <t>PAT-3356</t>
  </si>
  <si>
    <t>Thomas Williams</t>
  </si>
  <si>
    <t>PAT-3357</t>
  </si>
  <si>
    <t>Ashley Martinez</t>
  </si>
  <si>
    <t>PAT-3358</t>
  </si>
  <si>
    <t>Mary Ramirez</t>
  </si>
  <si>
    <t>PAT-3359</t>
  </si>
  <si>
    <t>Kenneth Miller</t>
  </si>
  <si>
    <t>PAT-3360</t>
  </si>
  <si>
    <t>Emily Hernandez</t>
  </si>
  <si>
    <t>PAT-3361</t>
  </si>
  <si>
    <t>Paul Perez</t>
  </si>
  <si>
    <t>PAT-3362</t>
  </si>
  <si>
    <t>James Harris</t>
  </si>
  <si>
    <t>PAT-3363</t>
  </si>
  <si>
    <t>Kevin Thompson</t>
  </si>
  <si>
    <t>PAT-3364</t>
  </si>
  <si>
    <t>Elizabeth Hernandez</t>
  </si>
  <si>
    <t>PAT-3365</t>
  </si>
  <si>
    <t>Anthony White</t>
  </si>
  <si>
    <t>PAT-3366</t>
  </si>
  <si>
    <t>Richard Lewis</t>
  </si>
  <si>
    <t>PAT-3367</t>
  </si>
  <si>
    <t>Andrew Williams</t>
  </si>
  <si>
    <t>PAT-3368</t>
  </si>
  <si>
    <t>PAT-3369</t>
  </si>
  <si>
    <t>Brian Garcia</t>
  </si>
  <si>
    <t>PAT-3370</t>
  </si>
  <si>
    <t>Joshua Miller</t>
  </si>
  <si>
    <t>PAT-3371</t>
  </si>
  <si>
    <t>Robert Smith</t>
  </si>
  <si>
    <t>PAT-3372</t>
  </si>
  <si>
    <t>Barbara Smith</t>
  </si>
  <si>
    <t>PAT-3373</t>
  </si>
  <si>
    <t>Sandra Jones</t>
  </si>
  <si>
    <t>PAT-3374</t>
  </si>
  <si>
    <t>PAT-3375</t>
  </si>
  <si>
    <t>PAT-3376</t>
  </si>
  <si>
    <t>PAT-3377</t>
  </si>
  <si>
    <t>Betty Young</t>
  </si>
  <si>
    <t>PAT-3378</t>
  </si>
  <si>
    <t>James Jackson</t>
  </si>
  <si>
    <t>PAT-3379</t>
  </si>
  <si>
    <t>PAT-3380</t>
  </si>
  <si>
    <t>Carol Robinson</t>
  </si>
  <si>
    <t>PAT-3381</t>
  </si>
  <si>
    <t>Dorothy Hernandez</t>
  </si>
  <si>
    <t>PAT-3382</t>
  </si>
  <si>
    <t>Steven Martin</t>
  </si>
  <si>
    <t>PAT-3383</t>
  </si>
  <si>
    <t>PAT-3384</t>
  </si>
  <si>
    <t>Sarah Lopez</t>
  </si>
  <si>
    <t>PAT-3385</t>
  </si>
  <si>
    <t>PAT-3386</t>
  </si>
  <si>
    <t>Matthew Martinez</t>
  </si>
  <si>
    <t>PAT-3387</t>
  </si>
  <si>
    <t>Mark Walker</t>
  </si>
  <si>
    <t>PAT-3388</t>
  </si>
  <si>
    <t>Christopher Clark</t>
  </si>
  <si>
    <t>PAT-3389</t>
  </si>
  <si>
    <t>Joseph Lee</t>
  </si>
  <si>
    <t>PAT-3390</t>
  </si>
  <si>
    <t>Steven Wilson</t>
  </si>
  <si>
    <t>PAT-3391</t>
  </si>
  <si>
    <t>PAT-3392</t>
  </si>
  <si>
    <t>Jennifer Harris</t>
  </si>
  <si>
    <t>PAT-3393</t>
  </si>
  <si>
    <t>Karen Thompson</t>
  </si>
  <si>
    <t>PAT-3394</t>
  </si>
  <si>
    <t>Sarah Harris</t>
  </si>
  <si>
    <t>PAT-3395</t>
  </si>
  <si>
    <t>Steven Young</t>
  </si>
  <si>
    <t>PAT-3396</t>
  </si>
  <si>
    <t>Dorothy Clark</t>
  </si>
  <si>
    <t>PAT-3397</t>
  </si>
  <si>
    <t>Anthony Lewis</t>
  </si>
  <si>
    <t>PAT-3398</t>
  </si>
  <si>
    <t>Jennifer Miller</t>
  </si>
  <si>
    <t>PAT-3399</t>
  </si>
  <si>
    <t>Robert White</t>
  </si>
  <si>
    <t>PAT-3400</t>
  </si>
  <si>
    <t>Anthony Clark</t>
  </si>
  <si>
    <t>PAT-3401</t>
  </si>
  <si>
    <t>PAT-3402</t>
  </si>
  <si>
    <t>Elizabeth Martin</t>
  </si>
  <si>
    <t>PAT-3403</t>
  </si>
  <si>
    <t>Sandra Lopez</t>
  </si>
  <si>
    <t>PAT-3404</t>
  </si>
  <si>
    <t>William Lewis</t>
  </si>
  <si>
    <t>PAT-3405</t>
  </si>
  <si>
    <t>William Ramirez</t>
  </si>
  <si>
    <t>PAT-3406</t>
  </si>
  <si>
    <t>Christopher Ramirez</t>
  </si>
  <si>
    <t>PAT-3407</t>
  </si>
  <si>
    <t>Susan Jones</t>
  </si>
  <si>
    <t>PAT-3408</t>
  </si>
  <si>
    <t>Michelle Rodriguez</t>
  </si>
  <si>
    <t>PAT-3409</t>
  </si>
  <si>
    <t>Michael Lopez</t>
  </si>
  <si>
    <t>PAT-3410</t>
  </si>
  <si>
    <t>Emily Thompson</t>
  </si>
  <si>
    <t>PAT-3411</t>
  </si>
  <si>
    <t>Richard Anderson</t>
  </si>
  <si>
    <t>PAT-3412</t>
  </si>
  <si>
    <t>PAT-3413</t>
  </si>
  <si>
    <t>Ashley Lee</t>
  </si>
  <si>
    <t>PAT-3414</t>
  </si>
  <si>
    <t>Karen Lewis</t>
  </si>
  <si>
    <t>PAT-3415</t>
  </si>
  <si>
    <t>Betty Ramirez</t>
  </si>
  <si>
    <t>PAT-3416</t>
  </si>
  <si>
    <t>PAT-3417</t>
  </si>
  <si>
    <t>Thomas Anderson</t>
  </si>
  <si>
    <t>PAT-3418</t>
  </si>
  <si>
    <t>PAT-3419</t>
  </si>
  <si>
    <t>PAT-3420</t>
  </si>
  <si>
    <t>PAT-3421</t>
  </si>
  <si>
    <t>Carol Lewis</t>
  </si>
  <si>
    <t>PAT-3422</t>
  </si>
  <si>
    <t>PAT-3423</t>
  </si>
  <si>
    <t>PAT-3424</t>
  </si>
  <si>
    <t>William Anderson</t>
  </si>
  <si>
    <t>PAT-3425</t>
  </si>
  <si>
    <t>Ashley Ramirez</t>
  </si>
  <si>
    <t>PAT-3426</t>
  </si>
  <si>
    <t>Donna Ramirez</t>
  </si>
  <si>
    <t>PAT-3427</t>
  </si>
  <si>
    <t>PAT-3428</t>
  </si>
  <si>
    <t>Matthew Jones</t>
  </si>
  <si>
    <t>PAT-3429</t>
  </si>
  <si>
    <t>Sandra Harris</t>
  </si>
  <si>
    <t>PAT-3430</t>
  </si>
  <si>
    <t>Linda Garcia</t>
  </si>
  <si>
    <t>PAT-3431</t>
  </si>
  <si>
    <t>James Clark</t>
  </si>
  <si>
    <t>PAT-3432</t>
  </si>
  <si>
    <t>Lisa Jones</t>
  </si>
  <si>
    <t>PAT-3433</t>
  </si>
  <si>
    <t>Barbara Martinez</t>
  </si>
  <si>
    <t>PAT-3434</t>
  </si>
  <si>
    <t>James Young</t>
  </si>
  <si>
    <t>PAT-3435</t>
  </si>
  <si>
    <t>PAT-3436</t>
  </si>
  <si>
    <t>Brian Rodriguez</t>
  </si>
  <si>
    <t>PAT-3437</t>
  </si>
  <si>
    <t>Paul Clark</t>
  </si>
  <si>
    <t>PAT-3438</t>
  </si>
  <si>
    <t>PAT-3439</t>
  </si>
  <si>
    <t>Michael Clark</t>
  </si>
  <si>
    <t>PAT-3440</t>
  </si>
  <si>
    <t>Andrew Garcia</t>
  </si>
  <si>
    <t>PAT-3441</t>
  </si>
  <si>
    <t>Linda Davis</t>
  </si>
  <si>
    <t>PAT-3442</t>
  </si>
  <si>
    <t>Christopher Taylor</t>
  </si>
  <si>
    <t>PAT-3443</t>
  </si>
  <si>
    <t>Robert Rodriguez</t>
  </si>
  <si>
    <t>PAT-3444</t>
  </si>
  <si>
    <t>PAT-3445</t>
  </si>
  <si>
    <t>Kenneth Thomas</t>
  </si>
  <si>
    <t>PAT-3446</t>
  </si>
  <si>
    <t>Joseph Walker</t>
  </si>
  <si>
    <t>PAT-3447</t>
  </si>
  <si>
    <t>Joseph Martin</t>
  </si>
  <si>
    <t>PAT-3448</t>
  </si>
  <si>
    <t>Susan Thompson</t>
  </si>
  <si>
    <t>PAT-3449</t>
  </si>
  <si>
    <t>PAT-3450</t>
  </si>
  <si>
    <t>PAT-3451</t>
  </si>
  <si>
    <t>PAT-3452</t>
  </si>
  <si>
    <t>Kimberly Robinson</t>
  </si>
  <si>
    <t>PAT-3453</t>
  </si>
  <si>
    <t>Richard Moore</t>
  </si>
  <si>
    <t>PAT-3454</t>
  </si>
  <si>
    <t>PAT-3455</t>
  </si>
  <si>
    <t>Donna Lewis</t>
  </si>
  <si>
    <t>PAT-3456</t>
  </si>
  <si>
    <t>Mary Garcia</t>
  </si>
  <si>
    <t>PAT-3457</t>
  </si>
  <si>
    <t>Joshua Young</t>
  </si>
  <si>
    <t>PAT-3458</t>
  </si>
  <si>
    <t>PAT-3459</t>
  </si>
  <si>
    <t>PAT-3460</t>
  </si>
  <si>
    <t>PAT-3461</t>
  </si>
  <si>
    <t>Matthew Lee</t>
  </si>
  <si>
    <t>PAT-3462</t>
  </si>
  <si>
    <t>Lisa Perez</t>
  </si>
  <si>
    <t>PAT-3463</t>
  </si>
  <si>
    <t>Linda Thompson</t>
  </si>
  <si>
    <t>PAT-3464</t>
  </si>
  <si>
    <t>Emily Taylor</t>
  </si>
  <si>
    <t>PAT-3465</t>
  </si>
  <si>
    <t>PAT-3466</t>
  </si>
  <si>
    <t>Joshua White</t>
  </si>
  <si>
    <t>PAT-3467</t>
  </si>
  <si>
    <t>Sarah Martinez</t>
  </si>
  <si>
    <t>PAT-3468</t>
  </si>
  <si>
    <t>Sandra Clark</t>
  </si>
  <si>
    <t>PAT-3469</t>
  </si>
  <si>
    <t>PAT-3470</t>
  </si>
  <si>
    <t>PAT-3471</t>
  </si>
  <si>
    <t>Susan Perez</t>
  </si>
  <si>
    <t>PAT-3472</t>
  </si>
  <si>
    <t>PAT-3473</t>
  </si>
  <si>
    <t>Andrew Jackson</t>
  </si>
  <si>
    <t>PAT-3474</t>
  </si>
  <si>
    <t>Kevin Perez</t>
  </si>
  <si>
    <t>PAT-3475</t>
  </si>
  <si>
    <t>PAT-3476</t>
  </si>
  <si>
    <t>Michelle Jones</t>
  </si>
  <si>
    <t>PAT-3477</t>
  </si>
  <si>
    <t>PAT-3478</t>
  </si>
  <si>
    <t>PAT-3479</t>
  </si>
  <si>
    <t>PAT-3480</t>
  </si>
  <si>
    <t>Kimberly Clark</t>
  </si>
  <si>
    <t>PAT-3481</t>
  </si>
  <si>
    <t>PAT-3482</t>
  </si>
  <si>
    <t>Dorothy Brown</t>
  </si>
  <si>
    <t>PAT-3483</t>
  </si>
  <si>
    <t>PAT-3484</t>
  </si>
  <si>
    <t>Paul Johnson</t>
  </si>
  <si>
    <t>PAT-3485</t>
  </si>
  <si>
    <t>PAT-3486</t>
  </si>
  <si>
    <t>Joseph Clark</t>
  </si>
  <si>
    <t>PAT-3487</t>
  </si>
  <si>
    <t>PAT-3488</t>
  </si>
  <si>
    <t>Nancy Jones</t>
  </si>
  <si>
    <t>PAT-3489</t>
  </si>
  <si>
    <t>Nancy Perez</t>
  </si>
  <si>
    <t>PAT-3490</t>
  </si>
  <si>
    <t>Barbara Brown</t>
  </si>
  <si>
    <t>PAT-3491</t>
  </si>
  <si>
    <t>Matthew Ramirez</t>
  </si>
  <si>
    <t>PAT-3492</t>
  </si>
  <si>
    <t>Sarah Brown</t>
  </si>
  <si>
    <t>PAT-3493</t>
  </si>
  <si>
    <t>Robert Williams</t>
  </si>
  <si>
    <t>PAT-3494</t>
  </si>
  <si>
    <t>Mary Thompson</t>
  </si>
  <si>
    <t>PAT-3495</t>
  </si>
  <si>
    <t>Michael White</t>
  </si>
  <si>
    <t>PAT-3496</t>
  </si>
  <si>
    <t>Michael Robinson</t>
  </si>
  <si>
    <t>PAT-3497</t>
  </si>
  <si>
    <t>Robert Jackson</t>
  </si>
  <si>
    <t>PAT-3498</t>
  </si>
  <si>
    <t>Donna Johnson</t>
  </si>
  <si>
    <t>PAT-3499</t>
  </si>
  <si>
    <t>Donna Martinez</t>
  </si>
  <si>
    <t>PAT-3500</t>
  </si>
  <si>
    <t>PAT-3501</t>
  </si>
  <si>
    <t>Donna Lee</t>
  </si>
  <si>
    <t>PAT-3502</t>
  </si>
  <si>
    <t>Kevin White</t>
  </si>
  <si>
    <t>PAT-3503</t>
  </si>
  <si>
    <t>Lisa Lee</t>
  </si>
  <si>
    <t>PAT-3504</t>
  </si>
  <si>
    <t>Daniel Jones</t>
  </si>
  <si>
    <t>PAT-3505</t>
  </si>
  <si>
    <t>PAT-3506</t>
  </si>
  <si>
    <t>Steven Davis</t>
  </si>
  <si>
    <t>PAT-3507</t>
  </si>
  <si>
    <t>PAT-3508</t>
  </si>
  <si>
    <t>PAT-3509</t>
  </si>
  <si>
    <t>Steven Robinson</t>
  </si>
  <si>
    <t>PAT-3510</t>
  </si>
  <si>
    <t>Lisa Lopez</t>
  </si>
  <si>
    <t>PAT-3511</t>
  </si>
  <si>
    <t>PAT-3512</t>
  </si>
  <si>
    <t>William Jones</t>
  </si>
  <si>
    <t>PAT-3513</t>
  </si>
  <si>
    <t>Michelle Thompson</t>
  </si>
  <si>
    <t>PAT-3514</t>
  </si>
  <si>
    <t>PAT-3515</t>
  </si>
  <si>
    <t>Joshua Williams</t>
  </si>
  <si>
    <t>PAT-3516</t>
  </si>
  <si>
    <t>Lisa Wilson</t>
  </si>
  <si>
    <t>PAT-3517</t>
  </si>
  <si>
    <t>Sandra Williams</t>
  </si>
  <si>
    <t>PAT-3518</t>
  </si>
  <si>
    <t>Steven Johnson</t>
  </si>
  <si>
    <t>PAT-3519</t>
  </si>
  <si>
    <t>PAT-3520</t>
  </si>
  <si>
    <t>Karen Walker</t>
  </si>
  <si>
    <t>PAT-3521</t>
  </si>
  <si>
    <t>Brian Miller</t>
  </si>
  <si>
    <t>PAT-3522</t>
  </si>
  <si>
    <t>Thomas Clark</t>
  </si>
  <si>
    <t>PAT-3523</t>
  </si>
  <si>
    <t>PAT-3524</t>
  </si>
  <si>
    <t>PAT-3525</t>
  </si>
  <si>
    <t>Lisa Davis</t>
  </si>
  <si>
    <t>PAT-3526</t>
  </si>
  <si>
    <t>Kenneth Davis</t>
  </si>
  <si>
    <t>PAT-3527</t>
  </si>
  <si>
    <t>PAT-3528</t>
  </si>
  <si>
    <t>Thomas Garcia</t>
  </si>
  <si>
    <t>PAT-3529</t>
  </si>
  <si>
    <t>Sarah Lee</t>
  </si>
  <si>
    <t>PAT-3530</t>
  </si>
  <si>
    <t>Barbara Thompson</t>
  </si>
  <si>
    <t>PAT-3531</t>
  </si>
  <si>
    <t>PAT-3532</t>
  </si>
  <si>
    <t>PAT-3533</t>
  </si>
  <si>
    <t>Carol Ramirez</t>
  </si>
  <si>
    <t>PAT-3534</t>
  </si>
  <si>
    <t>Robert Clark</t>
  </si>
  <si>
    <t>PAT-3535</t>
  </si>
  <si>
    <t>James Walker</t>
  </si>
  <si>
    <t>PAT-3536</t>
  </si>
  <si>
    <t>Thomas Lewis</t>
  </si>
  <si>
    <t>PAT-3537</t>
  </si>
  <si>
    <t>Elizabeth Robinson</t>
  </si>
  <si>
    <t>PAT-3538</t>
  </si>
  <si>
    <t>Karen Taylor</t>
  </si>
  <si>
    <t>PAT-3539</t>
  </si>
  <si>
    <t>Anthony Jackson</t>
  </si>
  <si>
    <t>PAT-3540</t>
  </si>
  <si>
    <t>Michael Taylor</t>
  </si>
  <si>
    <t>PAT-3541</t>
  </si>
  <si>
    <t>PAT-3542</t>
  </si>
  <si>
    <t>PAT-3543</t>
  </si>
  <si>
    <t>Karen White</t>
  </si>
  <si>
    <t>PAT-3544</t>
  </si>
  <si>
    <t>PAT-3545</t>
  </si>
  <si>
    <t>Carol Wilson</t>
  </si>
  <si>
    <t>PAT-3546</t>
  </si>
  <si>
    <t>Emily Jackson</t>
  </si>
  <si>
    <t>PAT-3547</t>
  </si>
  <si>
    <t>Susan Clark</t>
  </si>
  <si>
    <t>PAT-3548</t>
  </si>
  <si>
    <t>David Johnson</t>
  </si>
  <si>
    <t>PAT-3549</t>
  </si>
  <si>
    <t>Andrew White</t>
  </si>
  <si>
    <t>PAT-3550</t>
  </si>
  <si>
    <t>PAT-3551</t>
  </si>
  <si>
    <t>Jennifer Anderson</t>
  </si>
  <si>
    <t>PAT-3552</t>
  </si>
  <si>
    <t>PAT-3553</t>
  </si>
  <si>
    <t>Donna Jackson</t>
  </si>
  <si>
    <t>PAT-3554</t>
  </si>
  <si>
    <t>Richard Perez</t>
  </si>
  <si>
    <t>PAT-3555</t>
  </si>
  <si>
    <t>Nancy Young</t>
  </si>
  <si>
    <t>PAT-3556</t>
  </si>
  <si>
    <t>James Williams</t>
  </si>
  <si>
    <t>PAT-3557</t>
  </si>
  <si>
    <t>PAT-3558</t>
  </si>
  <si>
    <t>Richard Davis</t>
  </si>
  <si>
    <t>PAT-3559</t>
  </si>
  <si>
    <t>PAT-3560</t>
  </si>
  <si>
    <t>Michelle Brown</t>
  </si>
  <si>
    <t>PAT-3561</t>
  </si>
  <si>
    <t>Mark Lopez</t>
  </si>
  <si>
    <t>PAT-3562</t>
  </si>
  <si>
    <t>PAT-3563</t>
  </si>
  <si>
    <t>Richard Brown</t>
  </si>
  <si>
    <t>PAT-3564</t>
  </si>
  <si>
    <t>David Williams</t>
  </si>
  <si>
    <t>PAT-3565</t>
  </si>
  <si>
    <t>Daniel Williams</t>
  </si>
  <si>
    <t>PAT-3566</t>
  </si>
  <si>
    <t>PAT-3567</t>
  </si>
  <si>
    <t>PAT-3568</t>
  </si>
  <si>
    <t>PAT-3569</t>
  </si>
  <si>
    <t>Kevin Anderson</t>
  </si>
  <si>
    <t>PAT-3570</t>
  </si>
  <si>
    <t>PAT-3571</t>
  </si>
  <si>
    <t>PAT-3572</t>
  </si>
  <si>
    <t>Richard Thomas</t>
  </si>
  <si>
    <t>PAT-3573</t>
  </si>
  <si>
    <t>Betty Jackson</t>
  </si>
  <si>
    <t>PAT-3574</t>
  </si>
  <si>
    <t>PAT-3575</t>
  </si>
  <si>
    <t>PAT-3576</t>
  </si>
  <si>
    <t>Kimberly Moore</t>
  </si>
  <si>
    <t>PAT-3577</t>
  </si>
  <si>
    <t>Kimberly Jones</t>
  </si>
  <si>
    <t>PAT-3578</t>
  </si>
  <si>
    <t>Michael Brown</t>
  </si>
  <si>
    <t>PAT-3579</t>
  </si>
  <si>
    <t>Jennifer Lee</t>
  </si>
  <si>
    <t>PAT-3580</t>
  </si>
  <si>
    <t>Anthony Moore</t>
  </si>
  <si>
    <t>PAT-3581</t>
  </si>
  <si>
    <t>Elizabeth Thomas</t>
  </si>
  <si>
    <t>PAT-3582</t>
  </si>
  <si>
    <t>William Hernandez</t>
  </si>
  <si>
    <t>PAT-3583</t>
  </si>
  <si>
    <t>Barbara Martin</t>
  </si>
  <si>
    <t>PAT-3584</t>
  </si>
  <si>
    <t>Joseph Davis</t>
  </si>
  <si>
    <t>PAT-3585</t>
  </si>
  <si>
    <t>PAT-3586</t>
  </si>
  <si>
    <t>PAT-3587</t>
  </si>
  <si>
    <t>Lisa Smith</t>
  </si>
  <si>
    <t>PAT-3588</t>
  </si>
  <si>
    <t>Anthony Miller</t>
  </si>
  <si>
    <t>PAT-3589</t>
  </si>
  <si>
    <t>William Lopez</t>
  </si>
  <si>
    <t>PAT-3590</t>
  </si>
  <si>
    <t>Thomas Harris</t>
  </si>
  <si>
    <t>PAT-3591</t>
  </si>
  <si>
    <t>Lisa Jackson</t>
  </si>
  <si>
    <t>PAT-3592</t>
  </si>
  <si>
    <t>Andrew Hernandez</t>
  </si>
  <si>
    <t>PAT-3593</t>
  </si>
  <si>
    <t>Christopher Jackson</t>
  </si>
  <si>
    <t>PAT-3594</t>
  </si>
  <si>
    <t>PAT-3595</t>
  </si>
  <si>
    <t>Brian Clark</t>
  </si>
  <si>
    <t>PAT-3596</t>
  </si>
  <si>
    <t>Dorothy Garcia</t>
  </si>
  <si>
    <t>PAT-3597</t>
  </si>
  <si>
    <t>Dorothy Robinson</t>
  </si>
  <si>
    <t>PAT-3598</t>
  </si>
  <si>
    <t>PAT-3599</t>
  </si>
  <si>
    <t>Betty Davis</t>
  </si>
  <si>
    <t>PAT-3600</t>
  </si>
  <si>
    <t>Jessica Anderson</t>
  </si>
  <si>
    <t>PAT-3601</t>
  </si>
  <si>
    <t>Barbara Hernandez</t>
  </si>
  <si>
    <t>PAT-3602</t>
  </si>
  <si>
    <t>Daniel Moore</t>
  </si>
  <si>
    <t>PAT-3603</t>
  </si>
  <si>
    <t>PAT-3604</t>
  </si>
  <si>
    <t>Paul Smith</t>
  </si>
  <si>
    <t>PAT-3605</t>
  </si>
  <si>
    <t>PAT-3606</t>
  </si>
  <si>
    <t>PAT-3607</t>
  </si>
  <si>
    <t>Thomas Perez</t>
  </si>
  <si>
    <t>PAT-3608</t>
  </si>
  <si>
    <t>PAT-3609</t>
  </si>
  <si>
    <t>Dorothy Martin</t>
  </si>
  <si>
    <t>PAT-3610</t>
  </si>
  <si>
    <t>Kimberly Lee</t>
  </si>
  <si>
    <t>PAT-3611</t>
  </si>
  <si>
    <t>PAT-3612</t>
  </si>
  <si>
    <t>Joseph Jones</t>
  </si>
  <si>
    <t>PAT-3613</t>
  </si>
  <si>
    <t>Sarah Moore</t>
  </si>
  <si>
    <t>PAT-3614</t>
  </si>
  <si>
    <t>Paul Hernandez</t>
  </si>
  <si>
    <t>PAT-3615</t>
  </si>
  <si>
    <t>PAT-3616</t>
  </si>
  <si>
    <t>Sandra Lewis</t>
  </si>
  <si>
    <t>PAT-3617</t>
  </si>
  <si>
    <t>Nancy Martinez</t>
  </si>
  <si>
    <t>PAT-3618</t>
  </si>
  <si>
    <t>Daniel Robinson</t>
  </si>
  <si>
    <t>PAT-3619</t>
  </si>
  <si>
    <t>PAT-3620</t>
  </si>
  <si>
    <t>PAT-3621</t>
  </si>
  <si>
    <t>Robert Ramirez</t>
  </si>
  <si>
    <t>PAT-3622</t>
  </si>
  <si>
    <t>PAT-3623</t>
  </si>
  <si>
    <t>Paul Martinez</t>
  </si>
  <si>
    <t>PAT-3624</t>
  </si>
  <si>
    <t>Brian Lopez</t>
  </si>
  <si>
    <t>PAT-3625</t>
  </si>
  <si>
    <t>PAT-3626</t>
  </si>
  <si>
    <t>PAT-3627</t>
  </si>
  <si>
    <t>PAT-3628</t>
  </si>
  <si>
    <t>PAT-3629</t>
  </si>
  <si>
    <t>Sarah Ramirez</t>
  </si>
  <si>
    <t>PAT-3630</t>
  </si>
  <si>
    <t>Michelle Young</t>
  </si>
  <si>
    <t>PAT-3631</t>
  </si>
  <si>
    <t>Daniel Hernandez</t>
  </si>
  <si>
    <t>PAT-3632</t>
  </si>
  <si>
    <t>PAT-3633</t>
  </si>
  <si>
    <t>Emily Jones</t>
  </si>
  <si>
    <t>PAT-3634</t>
  </si>
  <si>
    <t>Donna Garcia</t>
  </si>
  <si>
    <t>PAT-3635</t>
  </si>
  <si>
    <t>PAT-3636</t>
  </si>
  <si>
    <t>Steven Thompson</t>
  </si>
  <si>
    <t>PAT-3637</t>
  </si>
  <si>
    <t>Karen Thomas</t>
  </si>
  <si>
    <t>PAT-3638</t>
  </si>
  <si>
    <t>Thomas Martinez</t>
  </si>
  <si>
    <t>PAT-3639</t>
  </si>
  <si>
    <t>PAT-3640</t>
  </si>
  <si>
    <t>Michael Garcia</t>
  </si>
  <si>
    <t>PAT-3641</t>
  </si>
  <si>
    <t>Kenneth Lee</t>
  </si>
  <si>
    <t>PAT-3642</t>
  </si>
  <si>
    <t>PAT-3643</t>
  </si>
  <si>
    <t>Ashley Jones</t>
  </si>
  <si>
    <t>PAT-3644</t>
  </si>
  <si>
    <t>Thomas Thompson</t>
  </si>
  <si>
    <t>PAT-3645</t>
  </si>
  <si>
    <t>Nancy Davis</t>
  </si>
  <si>
    <t>PAT-3646</t>
  </si>
  <si>
    <t>Michael Johnson</t>
  </si>
  <si>
    <t>PAT-3647</t>
  </si>
  <si>
    <t>PAT-3648</t>
  </si>
  <si>
    <t>PAT-3649</t>
  </si>
  <si>
    <t>Thomas Jones</t>
  </si>
  <si>
    <t>PAT-3650</t>
  </si>
  <si>
    <t>Steven Walker</t>
  </si>
  <si>
    <t>PAT-3651</t>
  </si>
  <si>
    <t>Thomas Robinson</t>
  </si>
  <si>
    <t>PAT-3652</t>
  </si>
  <si>
    <t>Michael Thomas</t>
  </si>
  <si>
    <t>PAT-3653</t>
  </si>
  <si>
    <t>PAT-3654</t>
  </si>
  <si>
    <t>PAT-3655</t>
  </si>
  <si>
    <t>PAT-3656</t>
  </si>
  <si>
    <t>Dorothy Perez</t>
  </si>
  <si>
    <t>PAT-3657</t>
  </si>
  <si>
    <t>PAT-3658</t>
  </si>
  <si>
    <t>PAT-3659</t>
  </si>
  <si>
    <t>PAT-3660</t>
  </si>
  <si>
    <t>Robert Lopez</t>
  </si>
  <si>
    <t>PAT-3661</t>
  </si>
  <si>
    <t>Matthew Hernandez</t>
  </si>
  <si>
    <t>PAT-3662</t>
  </si>
  <si>
    <t>Christopher Thompson</t>
  </si>
  <si>
    <t>PAT-3663</t>
  </si>
  <si>
    <t>Sarah Williams</t>
  </si>
  <si>
    <t>PAT-3664</t>
  </si>
  <si>
    <t>Donna Brown</t>
  </si>
  <si>
    <t>PAT-3665</t>
  </si>
  <si>
    <t>Carol Smith</t>
  </si>
  <si>
    <t>PAT-3666</t>
  </si>
  <si>
    <t>PAT-3667</t>
  </si>
  <si>
    <t>Brian Perez</t>
  </si>
  <si>
    <t>PAT-3668</t>
  </si>
  <si>
    <t>PAT-3669</t>
  </si>
  <si>
    <t>Michelle Anderson</t>
  </si>
  <si>
    <t>PAT-3670</t>
  </si>
  <si>
    <t>PAT-3671</t>
  </si>
  <si>
    <t>PAT-3672</t>
  </si>
  <si>
    <t>PAT-3673</t>
  </si>
  <si>
    <t>Emily Rodriguez</t>
  </si>
  <si>
    <t>PAT-3674</t>
  </si>
  <si>
    <t>James Lewis</t>
  </si>
  <si>
    <t>PAT-3675</t>
  </si>
  <si>
    <t>PAT-3676</t>
  </si>
  <si>
    <t>Carol Clark</t>
  </si>
  <si>
    <t>PAT-3677</t>
  </si>
  <si>
    <t>PAT-3678</t>
  </si>
  <si>
    <t>Christopher Garcia</t>
  </si>
  <si>
    <t>PAT-3679</t>
  </si>
  <si>
    <t>PAT-3680</t>
  </si>
  <si>
    <t>Elizabeth Ramirez</t>
  </si>
  <si>
    <t>PAT-3681</t>
  </si>
  <si>
    <t>Ashley Clark</t>
  </si>
  <si>
    <t>PAT-3682</t>
  </si>
  <si>
    <t>Nancy Thomas</t>
  </si>
  <si>
    <t>PAT-3683</t>
  </si>
  <si>
    <t>PAT-3684</t>
  </si>
  <si>
    <t>Joseph White</t>
  </si>
  <si>
    <t>PAT-3685</t>
  </si>
  <si>
    <t>PAT-3686</t>
  </si>
  <si>
    <t>PAT-3687</t>
  </si>
  <si>
    <t>PAT-3688</t>
  </si>
  <si>
    <t>Paul Jackson</t>
  </si>
  <si>
    <t>PAT-3689</t>
  </si>
  <si>
    <t>Ashley Garcia</t>
  </si>
  <si>
    <t>PAT-3690</t>
  </si>
  <si>
    <t>Thomas Lee</t>
  </si>
  <si>
    <t>PAT-3691</t>
  </si>
  <si>
    <t>David Martinez</t>
  </si>
  <si>
    <t>PAT-3692</t>
  </si>
  <si>
    <t>PAT-3693</t>
  </si>
  <si>
    <t>PAT-3694</t>
  </si>
  <si>
    <t>Carol Anderson</t>
  </si>
  <si>
    <t>PAT-3695</t>
  </si>
  <si>
    <t>Kenneth Rodriguez</t>
  </si>
  <si>
    <t>PAT-3696</t>
  </si>
  <si>
    <t>PAT-3697</t>
  </si>
  <si>
    <t>Matthew Lewis</t>
  </si>
  <si>
    <t>PAT-3698</t>
  </si>
  <si>
    <t>Anthony Taylor</t>
  </si>
  <si>
    <t>PAT-3699</t>
  </si>
  <si>
    <t>Michael Young</t>
  </si>
  <si>
    <t>PAT-3700</t>
  </si>
  <si>
    <t>Joshua Brown</t>
  </si>
  <si>
    <t>PAT-3701</t>
  </si>
  <si>
    <t>Richard Johnson</t>
  </si>
  <si>
    <t>PAT-3702</t>
  </si>
  <si>
    <t>Richard Garcia</t>
  </si>
  <si>
    <t>PAT-3703</t>
  </si>
  <si>
    <t>Nancy Brown</t>
  </si>
  <si>
    <t>PAT-3704</t>
  </si>
  <si>
    <t>Thomas Wilson</t>
  </si>
  <si>
    <t>PAT-3705</t>
  </si>
  <si>
    <t>PAT-3706</t>
  </si>
  <si>
    <t>PAT-3707</t>
  </si>
  <si>
    <t>PAT-3708</t>
  </si>
  <si>
    <t>PAT-3709</t>
  </si>
  <si>
    <t>PAT-3710</t>
  </si>
  <si>
    <t>Thomas Smith</t>
  </si>
  <si>
    <t>PAT-3711</t>
  </si>
  <si>
    <t>PAT-3712</t>
  </si>
  <si>
    <t>Karen Lee</t>
  </si>
  <si>
    <t>PAT-3713</t>
  </si>
  <si>
    <t>PAT-3714</t>
  </si>
  <si>
    <t>David Young</t>
  </si>
  <si>
    <t>PAT-3715</t>
  </si>
  <si>
    <t>James Ramirez</t>
  </si>
  <si>
    <t>PAT-3716</t>
  </si>
  <si>
    <t>Mark White</t>
  </si>
  <si>
    <t>PAT-3717</t>
  </si>
  <si>
    <t>PAT-3718</t>
  </si>
  <si>
    <t>Brian Moore</t>
  </si>
  <si>
    <t>PAT-3719</t>
  </si>
  <si>
    <t>PAT-3720</t>
  </si>
  <si>
    <t>PAT-3721</t>
  </si>
  <si>
    <t>Matthew Wilson</t>
  </si>
  <si>
    <t>PAT-3722</t>
  </si>
  <si>
    <t>Steven Perez</t>
  </si>
  <si>
    <t>PAT-3723</t>
  </si>
  <si>
    <t>Brian Harris</t>
  </si>
  <si>
    <t>PAT-3724</t>
  </si>
  <si>
    <t>PAT-3725</t>
  </si>
  <si>
    <t>Emily White</t>
  </si>
  <si>
    <t>PAT-3726</t>
  </si>
  <si>
    <t>PAT-3727</t>
  </si>
  <si>
    <t>Robert Garcia</t>
  </si>
  <si>
    <t>PAT-3728</t>
  </si>
  <si>
    <t>Lisa Miller</t>
  </si>
  <si>
    <t>PAT-3729</t>
  </si>
  <si>
    <t>PAT-3730</t>
  </si>
  <si>
    <t>James Perez</t>
  </si>
  <si>
    <t>PAT-3731</t>
  </si>
  <si>
    <t>PAT-3732</t>
  </si>
  <si>
    <t>Andrew Clark</t>
  </si>
  <si>
    <t>PAT-3733</t>
  </si>
  <si>
    <t>PAT-3734</t>
  </si>
  <si>
    <t>PAT-3735</t>
  </si>
  <si>
    <t>William Walker</t>
  </si>
  <si>
    <t>PAT-3736</t>
  </si>
  <si>
    <t>PAT-3737</t>
  </si>
  <si>
    <t>PAT-3738</t>
  </si>
  <si>
    <t>Sarah Garcia</t>
  </si>
  <si>
    <t>PAT-3739</t>
  </si>
  <si>
    <t>Ashley Thompson</t>
  </si>
  <si>
    <t>PAT-3740</t>
  </si>
  <si>
    <t>PAT-3741</t>
  </si>
  <si>
    <t>PAT-3742</t>
  </si>
  <si>
    <t>Joseph Martinez</t>
  </si>
  <si>
    <t>PAT-3743</t>
  </si>
  <si>
    <t>PAT-3744</t>
  </si>
  <si>
    <t>PAT-3745</t>
  </si>
  <si>
    <t>PAT-3746</t>
  </si>
  <si>
    <t>PAT-3747</t>
  </si>
  <si>
    <t>PAT-3748</t>
  </si>
  <si>
    <t>PAT-3749</t>
  </si>
  <si>
    <t>PAT-3750</t>
  </si>
  <si>
    <t>PAT-3751</t>
  </si>
  <si>
    <t>PAT-3752</t>
  </si>
  <si>
    <t>PAT-3753</t>
  </si>
  <si>
    <t>PAT-3754</t>
  </si>
  <si>
    <t>Jennifer Lewis</t>
  </si>
  <si>
    <t>PAT-3755</t>
  </si>
  <si>
    <t>Karen Rodriguez</t>
  </si>
  <si>
    <t>PAT-3756</t>
  </si>
  <si>
    <t>PAT-3757</t>
  </si>
  <si>
    <t>PAT-3758</t>
  </si>
  <si>
    <t>Jennifer Taylor</t>
  </si>
  <si>
    <t>PAT-3759</t>
  </si>
  <si>
    <t>Joshua Hernandez</t>
  </si>
  <si>
    <t>PAT-3760</t>
  </si>
  <si>
    <t>PAT-3761</t>
  </si>
  <si>
    <t>Christopher Lee</t>
  </si>
  <si>
    <t>PAT-3762</t>
  </si>
  <si>
    <t>Andrew Robinson</t>
  </si>
  <si>
    <t>PAT-3763</t>
  </si>
  <si>
    <t>Jessica Lee</t>
  </si>
  <si>
    <t>PAT-3764</t>
  </si>
  <si>
    <t>PAT-3765</t>
  </si>
  <si>
    <t>PAT-3766</t>
  </si>
  <si>
    <t>James Johnson</t>
  </si>
  <si>
    <t>PAT-3767</t>
  </si>
  <si>
    <t>PAT-3768</t>
  </si>
  <si>
    <t>PAT-3769</t>
  </si>
  <si>
    <t>Donna Thompson</t>
  </si>
  <si>
    <t>PAT-3770</t>
  </si>
  <si>
    <t>Matthew Brown</t>
  </si>
  <si>
    <t>PAT-3771</t>
  </si>
  <si>
    <t>PAT-3772</t>
  </si>
  <si>
    <t>Betty Rodriguez</t>
  </si>
  <si>
    <t>PAT-3773</t>
  </si>
  <si>
    <t>PAT-3774</t>
  </si>
  <si>
    <t>Robert Hernandez</t>
  </si>
  <si>
    <t>PAT-3775</t>
  </si>
  <si>
    <t>Paul Rodriguez</t>
  </si>
  <si>
    <t>PAT-3776</t>
  </si>
  <si>
    <t>Michael Wilson</t>
  </si>
  <si>
    <t>PAT-3777</t>
  </si>
  <si>
    <t>PAT-3778</t>
  </si>
  <si>
    <t>Brian Davis</t>
  </si>
  <si>
    <t>PAT-3779</t>
  </si>
  <si>
    <t>Kimberly Thompson</t>
  </si>
  <si>
    <t>PAT-3780</t>
  </si>
  <si>
    <t>Mark Harris</t>
  </si>
  <si>
    <t>PAT-3781</t>
  </si>
  <si>
    <t>Elizabeth Lopez</t>
  </si>
  <si>
    <t>PAT-3782</t>
  </si>
  <si>
    <t>PAT-3783</t>
  </si>
  <si>
    <t>Christopher Martin</t>
  </si>
  <si>
    <t>PAT-3784</t>
  </si>
  <si>
    <t>PAT-3785</t>
  </si>
  <si>
    <t>PAT-3786</t>
  </si>
  <si>
    <t>PAT-3787</t>
  </si>
  <si>
    <t>PAT-3788</t>
  </si>
  <si>
    <t>Joshua Jones</t>
  </si>
  <si>
    <t>PAT-3789</t>
  </si>
  <si>
    <t>PAT-3790</t>
  </si>
  <si>
    <t>Kenneth Robinson</t>
  </si>
  <si>
    <t>PAT-3791</t>
  </si>
  <si>
    <t>PAT-3792</t>
  </si>
  <si>
    <t>Emily Garcia</t>
  </si>
  <si>
    <t>PAT-3793</t>
  </si>
  <si>
    <t>PAT-3794</t>
  </si>
  <si>
    <t>PAT-3795</t>
  </si>
  <si>
    <t>Dorothy Thomas</t>
  </si>
  <si>
    <t>PAT-3796</t>
  </si>
  <si>
    <t>Joshua Thomas</t>
  </si>
  <si>
    <t>PAT-3797</t>
  </si>
  <si>
    <t>PAT-3798</t>
  </si>
  <si>
    <t>Elizabeth Miller</t>
  </si>
  <si>
    <t>PAT-3799</t>
  </si>
  <si>
    <t>PAT-3800</t>
  </si>
  <si>
    <t>PAT-3801</t>
  </si>
  <si>
    <t>Matthew Moore</t>
  </si>
  <si>
    <t>PAT-3802</t>
  </si>
  <si>
    <t>PAT-3803</t>
  </si>
  <si>
    <t>PAT-3804</t>
  </si>
  <si>
    <t>Carol Lee</t>
  </si>
  <si>
    <t>PAT-3805</t>
  </si>
  <si>
    <t>PAT-3806</t>
  </si>
  <si>
    <t>PAT-3807</t>
  </si>
  <si>
    <t>PAT-3808</t>
  </si>
  <si>
    <t>Karen Miller</t>
  </si>
  <si>
    <t>PAT-3809</t>
  </si>
  <si>
    <t>Barbara Miller</t>
  </si>
  <si>
    <t>PAT-3810</t>
  </si>
  <si>
    <t>Richard Martinez</t>
  </si>
  <si>
    <t>PAT-3811</t>
  </si>
  <si>
    <t>PAT-3812</t>
  </si>
  <si>
    <t>PAT-3813</t>
  </si>
  <si>
    <t>PAT-3814</t>
  </si>
  <si>
    <t>PAT-3815</t>
  </si>
  <si>
    <t>PAT-3816</t>
  </si>
  <si>
    <t>Barbara Thomas</t>
  </si>
  <si>
    <t>PAT-3817</t>
  </si>
  <si>
    <t>PAT-3818</t>
  </si>
  <si>
    <t>Ashley Perez</t>
  </si>
  <si>
    <t>PAT-3819</t>
  </si>
  <si>
    <t>Jennifer Thompson</t>
  </si>
  <si>
    <t>PAT-3820</t>
  </si>
  <si>
    <t>PAT-3821</t>
  </si>
  <si>
    <t>Jessica Perez</t>
  </si>
  <si>
    <t>PAT-3822</t>
  </si>
  <si>
    <t>PAT-3823</t>
  </si>
  <si>
    <t>PAT-3824</t>
  </si>
  <si>
    <t>PAT-3825</t>
  </si>
  <si>
    <t>PAT-3826</t>
  </si>
  <si>
    <t>PAT-3827</t>
  </si>
  <si>
    <t>Matthew White</t>
  </si>
  <si>
    <t>PAT-3828</t>
  </si>
  <si>
    <t>PAT-3829</t>
  </si>
  <si>
    <t>PAT-3830</t>
  </si>
  <si>
    <t>PAT-3831</t>
  </si>
  <si>
    <t>James Moore</t>
  </si>
  <si>
    <t>PAT-3832</t>
  </si>
  <si>
    <t>Joshua Thompson</t>
  </si>
  <si>
    <t>PAT-3833</t>
  </si>
  <si>
    <t>PAT-3834</t>
  </si>
  <si>
    <t>Jennifer Thomas</t>
  </si>
  <si>
    <t>PAT-3835</t>
  </si>
  <si>
    <t>Daniel Wilson</t>
  </si>
  <si>
    <t>PAT-3836</t>
  </si>
  <si>
    <t>Kimberly Harris</t>
  </si>
  <si>
    <t>PAT-3837</t>
  </si>
  <si>
    <t>PAT-3838</t>
  </si>
  <si>
    <t>PAT-3839</t>
  </si>
  <si>
    <t>Karen Lopez</t>
  </si>
  <si>
    <t>PAT-3840</t>
  </si>
  <si>
    <t>Christopher Brown</t>
  </si>
  <si>
    <t>PAT-3841</t>
  </si>
  <si>
    <t>PAT-3842</t>
  </si>
  <si>
    <t>Joshua Walker</t>
  </si>
  <si>
    <t>PAT-3843</t>
  </si>
  <si>
    <t>PAT-3844</t>
  </si>
  <si>
    <t>William Thomas</t>
  </si>
  <si>
    <t>PAT-3845</t>
  </si>
  <si>
    <t>Joshua Davis</t>
  </si>
  <si>
    <t>PAT-3846</t>
  </si>
  <si>
    <t>PAT-3847</t>
  </si>
  <si>
    <t>Daniel Ramirez</t>
  </si>
  <si>
    <t>PAT-3848</t>
  </si>
  <si>
    <t>PAT-3849</t>
  </si>
  <si>
    <t>Steven Williams</t>
  </si>
  <si>
    <t>PAT-3850</t>
  </si>
  <si>
    <t>PAT-3851</t>
  </si>
  <si>
    <t>Richard Thompson</t>
  </si>
  <si>
    <t>PAT-3852</t>
  </si>
  <si>
    <t>Mark Young</t>
  </si>
  <si>
    <t>PAT-3853</t>
  </si>
  <si>
    <t>Steven Lewis</t>
  </si>
  <si>
    <t>PAT-3854</t>
  </si>
  <si>
    <t>PAT-3855</t>
  </si>
  <si>
    <t>Donna Martin</t>
  </si>
  <si>
    <t>PAT-3856</t>
  </si>
  <si>
    <t>PAT-3857</t>
  </si>
  <si>
    <t>PAT-3858</t>
  </si>
  <si>
    <t>PAT-3859</t>
  </si>
  <si>
    <t>Linda Lewis</t>
  </si>
  <si>
    <t>PAT-3860</t>
  </si>
  <si>
    <t>Kevin Walker</t>
  </si>
  <si>
    <t>PAT-3861</t>
  </si>
  <si>
    <t>Kevin Lee</t>
  </si>
  <si>
    <t>PAT-3862</t>
  </si>
  <si>
    <t>Betty Lopez</t>
  </si>
  <si>
    <t>PAT-3863</t>
  </si>
  <si>
    <t>Kimberly Anderson</t>
  </si>
  <si>
    <t>PAT-3864</t>
  </si>
  <si>
    <t>Sandra Wilson</t>
  </si>
  <si>
    <t>PAT-3865</t>
  </si>
  <si>
    <t>PAT-3866</t>
  </si>
  <si>
    <t>Paul Thomas</t>
  </si>
  <si>
    <t>PAT-3867</t>
  </si>
  <si>
    <t>Dorothy Wilson</t>
  </si>
  <si>
    <t>PAT-3868</t>
  </si>
  <si>
    <t>Karen Jones</t>
  </si>
  <si>
    <t>PAT-3869</t>
  </si>
  <si>
    <t>PAT-3870</t>
  </si>
  <si>
    <t>Brian Jackson</t>
  </si>
  <si>
    <t>PAT-3871</t>
  </si>
  <si>
    <t>PAT-3872</t>
  </si>
  <si>
    <t>PAT-3873</t>
  </si>
  <si>
    <t>James Rodriguez</t>
  </si>
  <si>
    <t>PAT-3874</t>
  </si>
  <si>
    <t>Dorothy Johnson</t>
  </si>
  <si>
    <t>PAT-3875</t>
  </si>
  <si>
    <t>PAT-3876</t>
  </si>
  <si>
    <t>PAT-3877</t>
  </si>
  <si>
    <t>Michelle Ramirez</t>
  </si>
  <si>
    <t>PAT-3878</t>
  </si>
  <si>
    <t>PAT-3879</t>
  </si>
  <si>
    <t>Richard Harris</t>
  </si>
  <si>
    <t>PAT-3880</t>
  </si>
  <si>
    <t>Jennifer Jones</t>
  </si>
  <si>
    <t>PAT-3881</t>
  </si>
  <si>
    <t>Emily Martinez</t>
  </si>
  <si>
    <t>PAT-3882</t>
  </si>
  <si>
    <t>Kevin Thomas</t>
  </si>
  <si>
    <t>PAT-3883</t>
  </si>
  <si>
    <t>Elizabeth Young</t>
  </si>
  <si>
    <t>PAT-3884</t>
  </si>
  <si>
    <t>Steven Jones</t>
  </si>
  <si>
    <t>PAT-3885</t>
  </si>
  <si>
    <t>Elizabeth Lee</t>
  </si>
  <si>
    <t>PAT-3886</t>
  </si>
  <si>
    <t>Donna Harris</t>
  </si>
  <si>
    <t>PAT-3887</t>
  </si>
  <si>
    <t>PAT-3888</t>
  </si>
  <si>
    <t>PAT-3889</t>
  </si>
  <si>
    <t>PAT-3890</t>
  </si>
  <si>
    <t>Sarah Walker</t>
  </si>
  <si>
    <t>PAT-3891</t>
  </si>
  <si>
    <t>Kevin Hernandez</t>
  </si>
  <si>
    <t>PAT-3892</t>
  </si>
  <si>
    <t>Matthew Miller</t>
  </si>
  <si>
    <t>PAT-3893</t>
  </si>
  <si>
    <t>PAT-3894</t>
  </si>
  <si>
    <t>PAT-3895</t>
  </si>
  <si>
    <t>Brian Thomas</t>
  </si>
  <si>
    <t>PAT-3896</t>
  </si>
  <si>
    <t>PAT-3897</t>
  </si>
  <si>
    <t>PAT-3898</t>
  </si>
  <si>
    <t>Barbara Johnson</t>
  </si>
  <si>
    <t>PAT-3899</t>
  </si>
  <si>
    <t>Jessica Williams</t>
  </si>
  <si>
    <t>PAT-3900</t>
  </si>
  <si>
    <t>PAT-3901</t>
  </si>
  <si>
    <t>Betty Lewis</t>
  </si>
  <si>
    <t>PAT-3902</t>
  </si>
  <si>
    <t>PAT-3903</t>
  </si>
  <si>
    <t>Richard Lee</t>
  </si>
  <si>
    <t>PAT-3904</t>
  </si>
  <si>
    <t>PAT-3905</t>
  </si>
  <si>
    <t>Karen Brown</t>
  </si>
  <si>
    <t>PAT-3906</t>
  </si>
  <si>
    <t>Emily Perez</t>
  </si>
  <si>
    <t>PAT-3907</t>
  </si>
  <si>
    <t>PAT-3908</t>
  </si>
  <si>
    <t>PAT-3909</t>
  </si>
  <si>
    <t>Brian White</t>
  </si>
  <si>
    <t>PAT-3910</t>
  </si>
  <si>
    <t>Nancy White</t>
  </si>
  <si>
    <t>PAT-3911</t>
  </si>
  <si>
    <t>PAT-3912</t>
  </si>
  <si>
    <t>PAT-3913</t>
  </si>
  <si>
    <t>PAT-3914</t>
  </si>
  <si>
    <t>PAT-3915</t>
  </si>
  <si>
    <t>Matthew Young</t>
  </si>
  <si>
    <t>PAT-3916</t>
  </si>
  <si>
    <t>Thomas Lopez</t>
  </si>
  <si>
    <t>PAT-3917</t>
  </si>
  <si>
    <t>Ashley Johnson</t>
  </si>
  <si>
    <t>PAT-3918</t>
  </si>
  <si>
    <t>PAT-3919</t>
  </si>
  <si>
    <t>PAT-3920</t>
  </si>
  <si>
    <t>PAT-3921</t>
  </si>
  <si>
    <t>PAT-3922</t>
  </si>
  <si>
    <t>PAT-3923</t>
  </si>
  <si>
    <t>Emily Harris</t>
  </si>
  <si>
    <t>PAT-3924</t>
  </si>
  <si>
    <t>PAT-3925</t>
  </si>
  <si>
    <t>PAT-3926</t>
  </si>
  <si>
    <t>PAT-3927</t>
  </si>
  <si>
    <t>PAT-3928</t>
  </si>
  <si>
    <t>PAT-3929</t>
  </si>
  <si>
    <t>Joshua Jackson</t>
  </si>
  <si>
    <t>PAT-3930</t>
  </si>
  <si>
    <t>Sandra Anderson</t>
  </si>
  <si>
    <t>PAT-3931</t>
  </si>
  <si>
    <t>Jennifer Walker</t>
  </si>
  <si>
    <t>PAT-3932</t>
  </si>
  <si>
    <t>Mark Johnson</t>
  </si>
  <si>
    <t>PAT-3933</t>
  </si>
  <si>
    <t>PAT-3934</t>
  </si>
  <si>
    <t>Mary Young</t>
  </si>
  <si>
    <t>PAT-3935</t>
  </si>
  <si>
    <t>PAT-3936</t>
  </si>
  <si>
    <t>PAT-3937</t>
  </si>
  <si>
    <t>PAT-3938</t>
  </si>
  <si>
    <t>Michael Jones</t>
  </si>
  <si>
    <t>PAT-3939</t>
  </si>
  <si>
    <t>Richard Wilson</t>
  </si>
  <si>
    <t>PAT-3940</t>
  </si>
  <si>
    <t>Robert Perez</t>
  </si>
  <si>
    <t>PAT-3941</t>
  </si>
  <si>
    <t>PAT-3942</t>
  </si>
  <si>
    <t>PAT-3943</t>
  </si>
  <si>
    <t>Barbara Jackson</t>
  </si>
  <si>
    <t>PAT-3944</t>
  </si>
  <si>
    <t>Ashley White</t>
  </si>
  <si>
    <t>PAT-3945</t>
  </si>
  <si>
    <t>Andrew Ramirez</t>
  </si>
  <si>
    <t>PAT-3946</t>
  </si>
  <si>
    <t>PAT-3947</t>
  </si>
  <si>
    <t>Kevin Harris</t>
  </si>
  <si>
    <t>PAT-3948</t>
  </si>
  <si>
    <t>PAT-3949</t>
  </si>
  <si>
    <t>Carol Jones</t>
  </si>
  <si>
    <t>PAT-3950</t>
  </si>
  <si>
    <t>PAT-3951</t>
  </si>
  <si>
    <t>Elizabeth Johnson</t>
  </si>
  <si>
    <t>PAT-3952</t>
  </si>
  <si>
    <t>Barbara Harris</t>
  </si>
  <si>
    <t>PAT-3953</t>
  </si>
  <si>
    <t>PAT-3954</t>
  </si>
  <si>
    <t>Sandra Thompson</t>
  </si>
  <si>
    <t>PAT-3955</t>
  </si>
  <si>
    <t>PAT-3956</t>
  </si>
  <si>
    <t>PAT-3957</t>
  </si>
  <si>
    <t>PAT-3958</t>
  </si>
  <si>
    <t>Paul Walker</t>
  </si>
  <si>
    <t>PAT-3959</t>
  </si>
  <si>
    <t>PAT-3960</t>
  </si>
  <si>
    <t>Michelle Robinson</t>
  </si>
  <si>
    <t>PAT-3961</t>
  </si>
  <si>
    <t>PAT-3962</t>
  </si>
  <si>
    <t>Jennifer Martin</t>
  </si>
  <si>
    <t>PAT-3963</t>
  </si>
  <si>
    <t>PAT-3964</t>
  </si>
  <si>
    <t>Mary Jackson</t>
  </si>
  <si>
    <t>PAT-3965</t>
  </si>
  <si>
    <t>Emily Ramirez</t>
  </si>
  <si>
    <t>PAT-3966</t>
  </si>
  <si>
    <t>PAT-3967</t>
  </si>
  <si>
    <t>Karen Martin</t>
  </si>
  <si>
    <t>PAT-3968</t>
  </si>
  <si>
    <t>PAT-3969</t>
  </si>
  <si>
    <t>Donna Thomas</t>
  </si>
  <si>
    <t>PAT-3970</t>
  </si>
  <si>
    <t>Thomas Brown</t>
  </si>
  <si>
    <t>PAT-3971</t>
  </si>
  <si>
    <t>PAT-3972</t>
  </si>
  <si>
    <t>James Garcia</t>
  </si>
  <si>
    <t>PAT-3973</t>
  </si>
  <si>
    <t>Donna Young</t>
  </si>
  <si>
    <t>PAT-3974</t>
  </si>
  <si>
    <t>PAT-3975</t>
  </si>
  <si>
    <t>PAT-3976</t>
  </si>
  <si>
    <t>PAT-3977</t>
  </si>
  <si>
    <t>Carol Thomas</t>
  </si>
  <si>
    <t>PAT-3978</t>
  </si>
  <si>
    <t>PAT-3979</t>
  </si>
  <si>
    <t>PAT-3980</t>
  </si>
  <si>
    <t>PAT-3981</t>
  </si>
  <si>
    <t>PAT-3982</t>
  </si>
  <si>
    <t>Susan Lewis</t>
  </si>
  <si>
    <t>PAT-3983</t>
  </si>
  <si>
    <t>PAT-3984</t>
  </si>
  <si>
    <t>PAT-3985</t>
  </si>
  <si>
    <t>PAT-3986</t>
  </si>
  <si>
    <t>PAT-3987</t>
  </si>
  <si>
    <t>PAT-3988</t>
  </si>
  <si>
    <t>Dorothy Thompson</t>
  </si>
  <si>
    <t>PAT-3989</t>
  </si>
  <si>
    <t>Barbara Rodriguez</t>
  </si>
  <si>
    <t>PAT-3990</t>
  </si>
  <si>
    <t>Steven White</t>
  </si>
  <si>
    <t>PAT-3991</t>
  </si>
  <si>
    <t>PAT-3992</t>
  </si>
  <si>
    <t>Barbara Lee</t>
  </si>
  <si>
    <t>PAT-3993</t>
  </si>
  <si>
    <t>PAT-3994</t>
  </si>
  <si>
    <t>Joseph Hernandez</t>
  </si>
  <si>
    <t>PAT-3995</t>
  </si>
  <si>
    <t>Kimberly Lopez</t>
  </si>
  <si>
    <t>PAT-3996</t>
  </si>
  <si>
    <t>PAT-3997</t>
  </si>
  <si>
    <t>PAT-3998</t>
  </si>
  <si>
    <t>PAT-3999</t>
  </si>
  <si>
    <t>PAT-4000</t>
  </si>
  <si>
    <t>Jennifer Ramirez</t>
  </si>
  <si>
    <t>Length of Stay (Days)</t>
  </si>
  <si>
    <t>Age Group</t>
  </si>
  <si>
    <t>KPIs</t>
  </si>
  <si>
    <t>Total Patient Visits</t>
  </si>
  <si>
    <t>Total Billed Amount</t>
  </si>
  <si>
    <t>Average Length of Stay</t>
  </si>
  <si>
    <t>Average Insurance Coverage</t>
  </si>
  <si>
    <t>Row Labels</t>
  </si>
  <si>
    <t>Grand Total</t>
  </si>
  <si>
    <t>Average of Length of Stay (Days)</t>
  </si>
  <si>
    <t>Count of Patient ID</t>
  </si>
  <si>
    <t>Payment Status by Patient ID</t>
  </si>
  <si>
    <t>Average length of stay (Days) by Departments</t>
  </si>
  <si>
    <t>35–49</t>
  </si>
  <si>
    <t>50–64</t>
  </si>
  <si>
    <t>65+</t>
  </si>
  <si>
    <t>18–34</t>
  </si>
  <si>
    <t>0–17</t>
  </si>
  <si>
    <t>Age groups by Patient ID</t>
  </si>
  <si>
    <t>Departments</t>
  </si>
  <si>
    <t>Sum of Total Bill Amount</t>
  </si>
  <si>
    <t>2024</t>
  </si>
  <si>
    <t>2025</t>
  </si>
  <si>
    <t>Total Paid Amount</t>
  </si>
  <si>
    <t>Qtr1</t>
  </si>
  <si>
    <t>Qtr2</t>
  </si>
  <si>
    <t>Qtr3</t>
  </si>
  <si>
    <t>Qtr4</t>
  </si>
  <si>
    <r>
      <rPr>
        <b/>
        <sz val="11"/>
        <color theme="1"/>
        <rFont val="Aptos Narrow"/>
        <family val="2"/>
        <scheme val="minor"/>
      </rPr>
      <t xml:space="preserve">Departments by Bill </t>
    </r>
    <r>
      <rPr>
        <sz val="11"/>
        <color theme="1"/>
        <rFont val="Aptos Narrow"/>
        <family val="2"/>
        <scheme val="minor"/>
      </rPr>
      <t>Amount</t>
    </r>
  </si>
  <si>
    <t>Departments by Patient ID</t>
  </si>
  <si>
    <t>Count of Diagnosis</t>
  </si>
  <si>
    <t>Average of Insurance Coverage %</t>
  </si>
  <si>
    <t>Total Unique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</si>
</sst>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mm/dd/yyyy"/>
    <numFmt numFmtId="165" formatCode="&quot;$&quot;#,##0.00"/>
    <numFmt numFmtId="166" formatCode="0&quot;%&quot;"/>
    <numFmt numFmtId="167" formatCode="[&gt;1000000]\$0.00,,&quot;M&quot;;[&gt;1000]\$0.00,&quot;K&quot;;0"/>
    <numFmt numFmtId="168" formatCode="[$$-45C]#,##0.00"/>
  </numFmts>
  <fonts count="7">
    <font>
      <sz val="11"/>
      <color theme="1"/>
      <name val="Aptos Narrow"/>
      <family val="2"/>
      <scheme val="minor"/>
    </font>
    <font>
      <b/>
      <sz val="11"/>
      <color rgb="FFFFFFFF"/>
      <name val="Aptos Narrow"/>
      <family val="2"/>
      <scheme val="minor"/>
    </font>
    <font>
      <sz val="11"/>
      <color theme="1"/>
      <name val="Aptos Narrow"/>
      <family val="2"/>
      <scheme val="minor"/>
    </font>
    <font>
      <sz val="10"/>
      <color theme="1"/>
      <name val="Arial Unicode MS"/>
    </font>
    <font>
      <b/>
      <sz val="11"/>
      <color theme="1"/>
      <name val="Aptos Narrow"/>
      <family val="2"/>
      <scheme val="minor"/>
    </font>
    <font>
      <sz val="11"/>
      <color theme="0"/>
      <name val="Aptos Narrow"/>
      <family val="2"/>
      <scheme val="minor"/>
    </font>
    <font>
      <b/>
      <sz val="14"/>
      <color theme="0"/>
      <name val="Aptos Narrow"/>
      <family val="2"/>
      <scheme val="minor"/>
    </font>
  </fonts>
  <fills count="5">
    <fill>
      <patternFill patternType="none"/>
    </fill>
    <fill>
      <patternFill patternType="gray125"/>
    </fill>
    <fill>
      <patternFill patternType="solid">
        <fgColor rgb="FF4472C4"/>
        <bgColor indexed="64"/>
      </patternFill>
    </fill>
    <fill>
      <patternFill patternType="solid">
        <fgColor rgb="FF002060"/>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166" fontId="0" fillId="0" borderId="0" xfId="0" applyNumberFormat="1"/>
    <xf numFmtId="10" fontId="3" fillId="0" borderId="0" xfId="1" applyNumberFormat="1" applyFont="1" applyAlignment="1">
      <alignment vertical="center"/>
    </xf>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7" fontId="0" fillId="0" borderId="0" xfId="0" applyNumberFormat="1"/>
    <xf numFmtId="0" fontId="5" fillId="3" borderId="0" xfId="0" applyFont="1" applyFill="1"/>
    <xf numFmtId="0" fontId="6" fillId="4" borderId="0" xfId="0" applyFont="1" applyFill="1"/>
    <xf numFmtId="0" fontId="4" fillId="0" borderId="0" xfId="0" applyFont="1"/>
    <xf numFmtId="168" fontId="0" fillId="0" borderId="0" xfId="0" applyNumberFormat="1"/>
  </cellXfs>
  <cellStyles count="2">
    <cellStyle name="Normal" xfId="0" builtinId="0"/>
    <cellStyle name="Percent" xfId="1" builtinId="5"/>
  </cellStyles>
  <dxfs count="14">
    <dxf>
      <numFmt numFmtId="167" formatCode="[&gt;1000000]\$0.00,,&quot;M&quot;;[&gt;1000]\$0.00,&quot;K&quot;;0"/>
    </dxf>
    <dxf>
      <numFmt numFmtId="167" formatCode="[&gt;1000000]\$0.00,,&quot;M&quot;;[&gt;1000]\$0.00,&quot;K&quot;;0"/>
    </dxf>
    <dxf>
      <numFmt numFmtId="2" formatCode="0.00"/>
    </dxf>
    <dxf>
      <numFmt numFmtId="2" formatCode="0.00"/>
    </dxf>
    <dxf>
      <numFmt numFmtId="167" formatCode="[&gt;1000000]\$0.00,,&quot;M&quot;;[&gt;1000]\$0.00,&quot;K&quot;;0"/>
    </dxf>
    <dxf>
      <numFmt numFmtId="166" formatCode="0&quot;%&quot;"/>
    </dxf>
    <dxf>
      <numFmt numFmtId="165" formatCode="&quot;$&quot;#,##0.00"/>
    </dxf>
    <dxf>
      <numFmt numFmtId="164" formatCode="mm/dd/yyyy"/>
    </dxf>
    <dxf>
      <numFmt numFmtId="164" formatCode="mm/dd/yyyy"/>
    </dxf>
    <dxf>
      <font>
        <b/>
        <i val="0"/>
        <strike val="0"/>
        <condense val="0"/>
        <extend val="0"/>
        <outline val="0"/>
        <shadow val="0"/>
        <u val="none"/>
        <vertAlign val="baseline"/>
        <sz val="11"/>
        <color rgb="FFFFFFFF"/>
        <name val="Aptos Narrow"/>
        <family val="2"/>
        <scheme val="minor"/>
      </font>
      <fill>
        <patternFill patternType="solid">
          <fgColor indexed="64"/>
          <bgColor rgb="FF4472C4"/>
        </patternFill>
      </fill>
      <alignment horizontal="center" vertical="bottom" textRotation="0" wrapText="0" indent="0" justifyLastLine="0" shrinkToFit="0" readingOrder="0"/>
    </dxf>
    <dxf>
      <font>
        <b/>
        <i val="0"/>
        <sz val="12"/>
        <color theme="1"/>
      </font>
    </dxf>
    <dxf>
      <font>
        <sz val="11"/>
        <color theme="0"/>
      </font>
    </dxf>
    <dxf>
      <font>
        <b/>
        <i val="0"/>
        <sz val="16"/>
        <color theme="1"/>
      </font>
      <fill>
        <patternFill>
          <bgColor theme="0"/>
        </patternFill>
      </fill>
    </dxf>
    <dxf>
      <font>
        <sz val="18"/>
        <color theme="0"/>
      </font>
      <fill>
        <patternFill>
          <bgColor rgb="FF000099"/>
        </patternFill>
      </fill>
      <border diagonalUp="0" diagonalDown="0">
        <left style="hair">
          <color rgb="FF000099"/>
        </left>
        <right style="hair">
          <color rgb="FF000099"/>
        </right>
        <top style="hair">
          <color rgb="FF000099"/>
        </top>
        <bottom style="hair">
          <color rgb="FF000099"/>
        </bottom>
        <vertical/>
        <horizontal/>
      </border>
    </dxf>
  </dxfs>
  <tableStyles count="2" defaultTableStyle="TableStyleMedium2" defaultPivotStyle="PivotStyleLight16">
    <tableStyle name="Slicer Style 1" pivot="0" table="0" count="3" xr9:uid="{C0A3CE99-20CC-44D1-AF09-EFFFB8954FA3}">
      <tableStyleElement type="wholeTable" dxfId="13"/>
      <tableStyleElement type="headerRow" dxfId="12"/>
    </tableStyle>
    <tableStyle name="Slicer Style 2" pivot="0" table="0" count="6" xr9:uid="{BD625697-7CF5-41F1-898E-9F86454653D3}">
      <tableStyleElement type="wholeTable" dxfId="11"/>
      <tableStyleElement type="headerRow" dxfId="10"/>
    </tableStyle>
  </tableStyles>
  <colors>
    <mruColors>
      <color rgb="FF003399"/>
      <color rgb="FF000099"/>
      <color rgb="FFFFFFFF"/>
    </mruColors>
  </colors>
  <extLst>
    <ext xmlns:x14="http://schemas.microsoft.com/office/spreadsheetml/2009/9/main" uri="{46F421CA-312F-682f-3DD2-61675219B42D}">
      <x14:dxfs count="5">
        <dxf>
          <font>
            <color theme="0"/>
          </font>
          <fill>
            <patternFill>
              <bgColor rgb="FF0070C0"/>
            </patternFill>
          </fill>
        </dxf>
        <dxf>
          <font>
            <color theme="0"/>
          </font>
          <fill>
            <patternFill>
              <bgColor rgb="FF0070C0"/>
            </patternFill>
          </fill>
        </dxf>
        <dxf>
          <font>
            <color theme="1"/>
          </font>
        </dxf>
        <dxf>
          <font>
            <sz val="11"/>
          </font>
          <fill>
            <patternFill>
              <bgColor rgb="FF000099"/>
            </patternFill>
          </fill>
        </dxf>
        <dxf>
          <font>
            <sz val="14"/>
            <color theme="1"/>
          </font>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s>
        </x14:slicerStyle>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[Hospital_Patients_Dataset.xlsx]Pivot Tables!payment</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ln>
                    <a:solidFill>
                      <a:schemeClr val="tx2">
                        <a:lumMod val="90000"/>
                        <a:lumOff val="10000"/>
                      </a:schemeClr>
                    </a:solid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lt1"/>
            </a:solidFill>
          </a:ln>
          <a:effectLst/>
        </c:spPr>
        <c:dLbl>
          <c:idx val="0"/>
          <c:layout>
            <c:manualLayout>
              <c:x val="-1.9080375420467335E-2"/>
              <c:y val="-0.33806801873970188"/>
            </c:manualLayout>
          </c:layout>
          <c:spPr>
            <a:noFill/>
            <a:ln>
              <a:noFill/>
            </a:ln>
            <a:effectLst/>
          </c:spPr>
          <c:txPr>
            <a:bodyPr rot="0" spcFirstLastPara="1" vertOverflow="ellipsis" vert="horz" wrap="square" anchor="ctr" anchorCtr="0"/>
            <a:lstStyle/>
            <a:p>
              <a:pPr algn="ctr" rtl="0">
                <a:defRPr lang="en-US" sz="1400" b="0" i="0" u="none" strike="noStrike" kern="1200" baseline="0">
                  <a:ln>
                    <a:noFill/>
                  </a:ln>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4449719880672763E-2"/>
                  <c:h val="0.15658090429525806"/>
                </c:manualLayout>
              </c15:layout>
            </c:ext>
          </c:extLst>
        </c:dLbl>
      </c:pivotFmt>
      <c:pivotFmt>
        <c:idx val="7"/>
        <c:spPr>
          <a:solidFill>
            <a:schemeClr val="tx2">
              <a:lumMod val="90000"/>
              <a:lumOff val="10000"/>
            </a:schemeClr>
          </a:solidFill>
          <a:ln w="19050">
            <a:solidFill>
              <a:schemeClr val="lt1"/>
            </a:solidFill>
          </a:ln>
          <a:effectLst/>
        </c:spPr>
        <c:dLbl>
          <c:idx val="0"/>
          <c:layout>
            <c:manualLayout>
              <c:x val="-7.1721079717862707E-2"/>
              <c:y val="5.5535935353859783E-2"/>
            </c:manualLayout>
          </c:layout>
          <c:spPr>
            <a:noFill/>
            <a:ln>
              <a:noFill/>
            </a:ln>
            <a:effectLst/>
          </c:spPr>
          <c:txPr>
            <a:bodyPr rot="0" spcFirstLastPara="1" vertOverflow="ellipsis" vert="horz" wrap="square" anchor="ctr" anchorCtr="0"/>
            <a:lstStyle/>
            <a:p>
              <a:pPr algn="ctr" rtl="0">
                <a:defRPr lang="en-US" sz="1400" b="0" i="0" u="none" strike="noStrike" kern="1200" baseline="0">
                  <a:ln>
                    <a:noFill/>
                  </a:ln>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629214962160567"/>
                  <c:h val="0.2041357945010972"/>
                </c:manualLayout>
              </c15:layout>
            </c:ext>
          </c:extLst>
        </c:dLbl>
      </c:pivotFmt>
      <c:pivotFmt>
        <c:idx val="8"/>
        <c:spPr>
          <a:solidFill>
            <a:schemeClr val="accent2">
              <a:lumMod val="75000"/>
            </a:schemeClr>
          </a:solidFill>
          <a:ln w="19050">
            <a:solidFill>
              <a:schemeClr val="lt1"/>
            </a:solidFill>
          </a:ln>
          <a:effectLst/>
        </c:spPr>
        <c:dLbl>
          <c:idx val="0"/>
          <c:layout>
            <c:manualLayout>
              <c:x val="-5.3793055604293281E-2"/>
              <c:y val="0.16318514187655184"/>
            </c:manualLayout>
          </c:layout>
          <c:spPr>
            <a:noFill/>
            <a:ln>
              <a:noFill/>
            </a:ln>
            <a:effectLst/>
          </c:spPr>
          <c:txPr>
            <a:bodyPr rot="0" spcFirstLastPara="1" vertOverflow="ellipsis" vert="horz" wrap="square" anchor="ctr" anchorCtr="1"/>
            <a:lstStyle/>
            <a:p>
              <a:pPr>
                <a:defRPr sz="14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5782251462004651"/>
                  <c:h val="0.18714442829364086"/>
                </c:manualLayout>
              </c15:layout>
            </c:ext>
          </c:extLst>
        </c:dLbl>
      </c:pivotFmt>
    </c:pivotFmts>
    <c:plotArea>
      <c:layout/>
      <c:pieChart>
        <c:varyColors val="1"/>
        <c:ser>
          <c:idx val="0"/>
          <c:order val="0"/>
          <c:tx>
            <c:strRef>
              <c:f>'Pivot Tables'!$H$9</c:f>
              <c:strCache>
                <c:ptCount val="1"/>
                <c:pt idx="0">
                  <c:v>Total</c:v>
                </c:pt>
              </c:strCache>
            </c:strRef>
          </c:tx>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12CE-496F-A9A3-CBB9F7225487}"/>
              </c:ext>
            </c:extLst>
          </c:dPt>
          <c:dPt>
            <c:idx val="1"/>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3-12CE-496F-A9A3-CBB9F7225487}"/>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12CE-496F-A9A3-CBB9F7225487}"/>
              </c:ext>
            </c:extLst>
          </c:dPt>
          <c:dLbls>
            <c:dLbl>
              <c:idx val="0"/>
              <c:layout>
                <c:manualLayout>
                  <c:x val="-1.9080375420467335E-2"/>
                  <c:y val="-0.33806801873970188"/>
                </c:manualLayout>
              </c:layout>
              <c:spPr>
                <a:noFill/>
                <a:ln>
                  <a:noFill/>
                </a:ln>
                <a:effectLst/>
              </c:spPr>
              <c:txPr>
                <a:bodyPr rot="0" spcFirstLastPara="1" vertOverflow="ellipsis" vert="horz" wrap="square" anchor="ctr" anchorCtr="0"/>
                <a:lstStyle/>
                <a:p>
                  <a:pPr algn="ctr" rtl="0">
                    <a:defRPr lang="en-US" sz="1400" b="0" i="0" u="none" strike="noStrike" kern="1200" baseline="0">
                      <a:ln>
                        <a:noFill/>
                      </a:ln>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4449719880672763E-2"/>
                      <c:h val="0.15658090429525806"/>
                    </c:manualLayout>
                  </c15:layout>
                </c:ext>
                <c:ext xmlns:c16="http://schemas.microsoft.com/office/drawing/2014/chart" uri="{C3380CC4-5D6E-409C-BE32-E72D297353CC}">
                  <c16:uniqueId val="{00000001-12CE-496F-A9A3-CBB9F7225487}"/>
                </c:ext>
              </c:extLst>
            </c:dLbl>
            <c:dLbl>
              <c:idx val="1"/>
              <c:layout>
                <c:manualLayout>
                  <c:x val="-7.1721079717862707E-2"/>
                  <c:y val="5.5535935353859783E-2"/>
                </c:manualLayout>
              </c:layout>
              <c:spPr>
                <a:noFill/>
                <a:ln>
                  <a:noFill/>
                </a:ln>
                <a:effectLst/>
              </c:spPr>
              <c:txPr>
                <a:bodyPr rot="0" spcFirstLastPara="1" vertOverflow="ellipsis" vert="horz" wrap="square" anchor="ctr" anchorCtr="0"/>
                <a:lstStyle/>
                <a:p>
                  <a:pPr algn="ctr" rtl="0">
                    <a:defRPr lang="en-US" sz="1400" b="0" i="0" u="none" strike="noStrike" kern="1200" baseline="0">
                      <a:ln>
                        <a:noFill/>
                      </a:ln>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629214962160567"/>
                      <c:h val="0.2041357945010972"/>
                    </c:manualLayout>
                  </c15:layout>
                </c:ext>
                <c:ext xmlns:c16="http://schemas.microsoft.com/office/drawing/2014/chart" uri="{C3380CC4-5D6E-409C-BE32-E72D297353CC}">
                  <c16:uniqueId val="{00000003-12CE-496F-A9A3-CBB9F7225487}"/>
                </c:ext>
              </c:extLst>
            </c:dLbl>
            <c:dLbl>
              <c:idx val="2"/>
              <c:layout>
                <c:manualLayout>
                  <c:x val="-5.3793055604293281E-2"/>
                  <c:y val="0.16318514187655184"/>
                </c:manualLayout>
              </c:layout>
              <c:spPr>
                <a:noFill/>
                <a:ln>
                  <a:noFill/>
                </a:ln>
                <a:effectLst/>
              </c:spPr>
              <c:txPr>
                <a:bodyPr rot="0" spcFirstLastPara="1" vertOverflow="ellipsis" vert="horz" wrap="square" anchor="ctr" anchorCtr="1"/>
                <a:lstStyle/>
                <a:p>
                  <a:pPr>
                    <a:defRPr sz="14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5782251462004651"/>
                      <c:h val="0.18714442829364086"/>
                    </c:manualLayout>
                  </c15:layout>
                </c:ext>
                <c:ext xmlns:c16="http://schemas.microsoft.com/office/drawing/2014/chart" uri="{C3380CC4-5D6E-409C-BE32-E72D297353CC}">
                  <c16:uniqueId val="{00000005-12CE-496F-A9A3-CBB9F7225487}"/>
                </c:ext>
              </c:extLst>
            </c:dLbl>
            <c:spPr>
              <a:noFill/>
              <a:ln>
                <a:noFill/>
              </a:ln>
              <a:effectLst/>
            </c:spPr>
            <c:txPr>
              <a:bodyPr rot="0" spcFirstLastPara="1" vertOverflow="ellipsis" vert="horz" wrap="square" anchor="ctr" anchorCtr="1"/>
              <a:lstStyle/>
              <a:p>
                <a:pPr>
                  <a:defRPr sz="1400" b="0" i="0" u="none" strike="noStrike" kern="1200" baseline="0">
                    <a:ln>
                      <a:solidFill>
                        <a:schemeClr val="tx2">
                          <a:lumMod val="90000"/>
                          <a:lumOff val="10000"/>
                        </a:schemeClr>
                      </a:solidFill>
                    </a:ln>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Tables'!$G$10:$G$13</c:f>
              <c:strCache>
                <c:ptCount val="3"/>
                <c:pt idx="0">
                  <c:v>Paid</c:v>
                </c:pt>
                <c:pt idx="1">
                  <c:v>Partially Paid</c:v>
                </c:pt>
                <c:pt idx="2">
                  <c:v>Pending</c:v>
                </c:pt>
              </c:strCache>
            </c:strRef>
          </c:cat>
          <c:val>
            <c:numRef>
              <c:f>'Pivot Tables'!$H$10:$H$13</c:f>
              <c:numCache>
                <c:formatCode>General</c:formatCode>
                <c:ptCount val="3"/>
                <c:pt idx="0">
                  <c:v>564</c:v>
                </c:pt>
                <c:pt idx="1">
                  <c:v>179</c:v>
                </c:pt>
                <c:pt idx="2">
                  <c:v>257</c:v>
                </c:pt>
              </c:numCache>
            </c:numRef>
          </c:val>
          <c:extLst>
            <c:ext xmlns:c16="http://schemas.microsoft.com/office/drawing/2014/chart" uri="{C3380CC4-5D6E-409C-BE32-E72D297353CC}">
              <c16:uniqueId val="{00000006-12CE-496F-A9A3-CBB9F722548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1038321024706907"/>
          <c:y val="0.31542429150382162"/>
          <c:w val="0.27663835934181785"/>
          <c:h val="0.60219828748002535"/>
        </c:manualLayout>
      </c:layout>
      <c:overlay val="0"/>
      <c:spPr>
        <a:solidFill>
          <a:schemeClr val="bg1"/>
        </a:solidFill>
        <a:ln>
          <a:noFill/>
        </a:ln>
        <a:effectLst/>
      </c:spPr>
      <c:txPr>
        <a:bodyPr rot="240000" spcFirstLastPara="1" vertOverflow="ellipsis" wrap="square" anchor="t"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90000"/>
          <a:lumOff val="10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[Hospital_Patients_Dataset.xlsx]Pivot Tables!overtime</c:name>
    <c:fmtId val="3"/>
  </c:pivotSource>
  <c:chart>
    <c:autoTitleDeleted val="1"/>
    <c:pivotFmts>
      <c:pivotFmt>
        <c:idx val="0"/>
      </c:pivotFmt>
      <c:pivotFmt>
        <c:idx val="1"/>
      </c:pivotFmt>
      <c:pivotFmt>
        <c:idx val="2"/>
        <c:spPr>
          <a:ln w="34925" cap="rnd">
            <a:solidFill>
              <a:srgbClr val="00206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405018707377461E-2"/>
          <c:y val="0.1039474185666357"/>
          <c:w val="0.96318996258524503"/>
          <c:h val="0.76697413515057156"/>
        </c:manualLayout>
      </c:layout>
      <c:lineChart>
        <c:grouping val="standard"/>
        <c:varyColors val="0"/>
        <c:ser>
          <c:idx val="0"/>
          <c:order val="0"/>
          <c:tx>
            <c:strRef>
              <c:f>'Pivot Tables'!$H$20</c:f>
              <c:strCache>
                <c:ptCount val="1"/>
                <c:pt idx="0">
                  <c:v>Total</c:v>
                </c:pt>
              </c:strCache>
            </c:strRef>
          </c:tx>
          <c:spPr>
            <a:ln w="34925" cap="rnd">
              <a:solidFill>
                <a:srgbClr val="00206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Tables'!$G$21:$G$30</c:f>
              <c:multiLvlStrCache>
                <c:ptCount val="8"/>
                <c:lvl>
                  <c:pt idx="0">
                    <c:v>Qtr1</c:v>
                  </c:pt>
                  <c:pt idx="1">
                    <c:v>Qtr2</c:v>
                  </c:pt>
                  <c:pt idx="2">
                    <c:v>Qtr3</c:v>
                  </c:pt>
                  <c:pt idx="3">
                    <c:v>Qtr4</c:v>
                  </c:pt>
                  <c:pt idx="4">
                    <c:v>Qtr1</c:v>
                  </c:pt>
                  <c:pt idx="5">
                    <c:v>Qtr2</c:v>
                  </c:pt>
                  <c:pt idx="6">
                    <c:v>Qtr3</c:v>
                  </c:pt>
                  <c:pt idx="7">
                    <c:v>Qtr4</c:v>
                  </c:pt>
                </c:lvl>
                <c:lvl>
                  <c:pt idx="0">
                    <c:v>2024</c:v>
                  </c:pt>
                  <c:pt idx="4">
                    <c:v>2025</c:v>
                  </c:pt>
                </c:lvl>
              </c:multiLvlStrCache>
            </c:multiLvlStrRef>
          </c:cat>
          <c:val>
            <c:numRef>
              <c:f>'Pivot Tables'!$H$21:$H$30</c:f>
              <c:numCache>
                <c:formatCode>[&gt;1000000]\$0.00,,"M";[&gt;1000]\$0.00,"K";0</c:formatCode>
                <c:ptCount val="8"/>
                <c:pt idx="0">
                  <c:v>843958.47000000032</c:v>
                </c:pt>
                <c:pt idx="1">
                  <c:v>1071007.51</c:v>
                </c:pt>
                <c:pt idx="2">
                  <c:v>1082388.3599999994</c:v>
                </c:pt>
                <c:pt idx="3">
                  <c:v>1135111.0200000003</c:v>
                </c:pt>
                <c:pt idx="4">
                  <c:v>979664.56999999948</c:v>
                </c:pt>
                <c:pt idx="5">
                  <c:v>883087.34</c:v>
                </c:pt>
                <c:pt idx="6">
                  <c:v>936742.03000000026</c:v>
                </c:pt>
                <c:pt idx="7">
                  <c:v>1121184.1400000008</c:v>
                </c:pt>
              </c:numCache>
            </c:numRef>
          </c:val>
          <c:smooth val="1"/>
          <c:extLst>
            <c:ext xmlns:c16="http://schemas.microsoft.com/office/drawing/2014/chart" uri="{C3380CC4-5D6E-409C-BE32-E72D297353CC}">
              <c16:uniqueId val="{00000000-F1BF-4497-B735-7E8EA6FADB9B}"/>
            </c:ext>
          </c:extLst>
        </c:ser>
        <c:dLbls>
          <c:dLblPos val="t"/>
          <c:showLegendKey val="0"/>
          <c:showVal val="1"/>
          <c:showCatName val="0"/>
          <c:showSerName val="0"/>
          <c:showPercent val="0"/>
          <c:showBubbleSize val="0"/>
        </c:dLbls>
        <c:dropLines>
          <c:spPr>
            <a:ln w="9525" cap="flat" cmpd="sng" algn="ctr">
              <a:solidFill>
                <a:srgbClr val="002060"/>
              </a:solidFill>
              <a:round/>
            </a:ln>
            <a:effectLst/>
          </c:spPr>
        </c:dropLines>
        <c:marker val="1"/>
        <c:smooth val="0"/>
        <c:axId val="860721904"/>
        <c:axId val="860722384"/>
      </c:lineChart>
      <c:catAx>
        <c:axId val="8607219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100" b="0" i="0" u="none" strike="noStrike" kern="1200" spc="100" baseline="0">
                <a:solidFill>
                  <a:schemeClr val="tx1"/>
                </a:solidFill>
                <a:latin typeface="+mn-lt"/>
                <a:ea typeface="+mn-ea"/>
                <a:cs typeface="+mn-cs"/>
              </a:defRPr>
            </a:pPr>
            <a:endParaRPr lang="en-US"/>
          </a:p>
        </c:txPr>
        <c:crossAx val="860722384"/>
        <c:crosses val="autoZero"/>
        <c:auto val="1"/>
        <c:lblAlgn val="ctr"/>
        <c:lblOffset val="100"/>
        <c:noMultiLvlLbl val="0"/>
      </c:catAx>
      <c:valAx>
        <c:axId val="860722384"/>
        <c:scaling>
          <c:orientation val="minMax"/>
        </c:scaling>
        <c:delete val="1"/>
        <c:axPos val="l"/>
        <c:numFmt formatCode="[&gt;1000000]\$0.00,,&quot;M&quot;;[&gt;1000]\$0.00,&quot;K&quot;;0" sourceLinked="1"/>
        <c:majorTickMark val="none"/>
        <c:minorTickMark val="none"/>
        <c:tickLblPos val="nextTo"/>
        <c:crossAx val="86072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[Hospital_Patients_Dataset.xlsx]Pivot Tables!dept_</c:name>
    <c:fmtId val="13"/>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Tables'!$E$20</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Tables'!$D$21:$D$26</c:f>
              <c:strCache>
                <c:ptCount val="6"/>
                <c:pt idx="0">
                  <c:v>Cardiology</c:v>
                </c:pt>
                <c:pt idx="1">
                  <c:v>Emergency</c:v>
                </c:pt>
                <c:pt idx="2">
                  <c:v>General</c:v>
                </c:pt>
                <c:pt idx="3">
                  <c:v>Neurology</c:v>
                </c:pt>
                <c:pt idx="4">
                  <c:v>Orthopedics</c:v>
                </c:pt>
                <c:pt idx="5">
                  <c:v>Pediatrics</c:v>
                </c:pt>
              </c:strCache>
            </c:strRef>
          </c:cat>
          <c:val>
            <c:numRef>
              <c:f>'Pivot Tables'!$E$21:$E$26</c:f>
              <c:numCache>
                <c:formatCode>[&gt;1000000]\$0.00,,"M";[&gt;1000]\$0.00,"K";0</c:formatCode>
                <c:ptCount val="6"/>
                <c:pt idx="0">
                  <c:v>2095437.9699999988</c:v>
                </c:pt>
                <c:pt idx="1">
                  <c:v>622525.27999999956</c:v>
                </c:pt>
                <c:pt idx="2">
                  <c:v>993026.92000000027</c:v>
                </c:pt>
                <c:pt idx="3">
                  <c:v>1215302.99</c:v>
                </c:pt>
                <c:pt idx="4">
                  <c:v>2553862.3200000008</c:v>
                </c:pt>
                <c:pt idx="5">
                  <c:v>572987.96000000031</c:v>
                </c:pt>
              </c:numCache>
            </c:numRef>
          </c:val>
          <c:extLst>
            <c:ext xmlns:c16="http://schemas.microsoft.com/office/drawing/2014/chart" uri="{C3380CC4-5D6E-409C-BE32-E72D297353CC}">
              <c16:uniqueId val="{00000000-6B35-4D94-B626-857CD60B1018}"/>
            </c:ext>
          </c:extLst>
        </c:ser>
        <c:dLbls>
          <c:dLblPos val="outEnd"/>
          <c:showLegendKey val="0"/>
          <c:showVal val="1"/>
          <c:showCatName val="0"/>
          <c:showSerName val="0"/>
          <c:showPercent val="0"/>
          <c:showBubbleSize val="0"/>
        </c:dLbls>
        <c:gapWidth val="219"/>
        <c:overlap val="-27"/>
        <c:axId val="170956815"/>
        <c:axId val="2001414255"/>
      </c:barChart>
      <c:catAx>
        <c:axId val="17095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001414255"/>
        <c:crosses val="autoZero"/>
        <c:auto val="1"/>
        <c:lblAlgn val="ctr"/>
        <c:lblOffset val="100"/>
        <c:noMultiLvlLbl val="0"/>
      </c:catAx>
      <c:valAx>
        <c:axId val="2001414255"/>
        <c:scaling>
          <c:orientation val="minMax"/>
        </c:scaling>
        <c:delete val="1"/>
        <c:axPos val="l"/>
        <c:numFmt formatCode="[&gt;1000000]\$0.00,,&quot;M&quot;;[&gt;1000]\$0.00,&quot;K&quot;;0" sourceLinked="1"/>
        <c:majorTickMark val="none"/>
        <c:minorTickMark val="none"/>
        <c:tickLblPos val="nextTo"/>
        <c:crossAx val="17095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[Hospital_Patients_Dataset.xlsx]Pivot Tables!countByDept</c:name>
    <c:fmtId val="11"/>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Tables'!$E$32</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Tables'!$D$33:$D$38</c:f>
              <c:strCache>
                <c:ptCount val="6"/>
                <c:pt idx="0">
                  <c:v>Cardiology</c:v>
                </c:pt>
                <c:pt idx="1">
                  <c:v>Emergency</c:v>
                </c:pt>
                <c:pt idx="2">
                  <c:v>General</c:v>
                </c:pt>
                <c:pt idx="3">
                  <c:v>Neurology</c:v>
                </c:pt>
                <c:pt idx="4">
                  <c:v>Orthopedics</c:v>
                </c:pt>
                <c:pt idx="5">
                  <c:v>Pediatrics</c:v>
                </c:pt>
              </c:strCache>
            </c:strRef>
          </c:cat>
          <c:val>
            <c:numRef>
              <c:f>'Pivot Tables'!$E$33:$E$38</c:f>
              <c:numCache>
                <c:formatCode>General</c:formatCode>
                <c:ptCount val="6"/>
                <c:pt idx="0">
                  <c:v>152</c:v>
                </c:pt>
                <c:pt idx="1">
                  <c:v>190</c:v>
                </c:pt>
                <c:pt idx="2">
                  <c:v>252</c:v>
                </c:pt>
                <c:pt idx="3">
                  <c:v>94</c:v>
                </c:pt>
                <c:pt idx="4">
                  <c:v>159</c:v>
                </c:pt>
                <c:pt idx="5">
                  <c:v>153</c:v>
                </c:pt>
              </c:numCache>
            </c:numRef>
          </c:val>
          <c:extLst>
            <c:ext xmlns:c16="http://schemas.microsoft.com/office/drawing/2014/chart" uri="{C3380CC4-5D6E-409C-BE32-E72D297353CC}">
              <c16:uniqueId val="{00000000-867C-4C86-A49E-525BF8015941}"/>
            </c:ext>
          </c:extLst>
        </c:ser>
        <c:dLbls>
          <c:dLblPos val="outEnd"/>
          <c:showLegendKey val="0"/>
          <c:showVal val="1"/>
          <c:showCatName val="0"/>
          <c:showSerName val="0"/>
          <c:showPercent val="0"/>
          <c:showBubbleSize val="0"/>
        </c:dLbls>
        <c:gapWidth val="219"/>
        <c:overlap val="-27"/>
        <c:axId val="183915759"/>
        <c:axId val="2001455535"/>
      </c:barChart>
      <c:catAx>
        <c:axId val="183915759"/>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001455535"/>
        <c:crosses val="autoZero"/>
        <c:auto val="1"/>
        <c:lblAlgn val="ctr"/>
        <c:lblOffset val="100"/>
        <c:noMultiLvlLbl val="0"/>
      </c:catAx>
      <c:valAx>
        <c:axId val="2001455535"/>
        <c:scaling>
          <c:orientation val="minMax"/>
        </c:scaling>
        <c:delete val="1"/>
        <c:axPos val="l"/>
        <c:numFmt formatCode="General" sourceLinked="1"/>
        <c:majorTickMark val="none"/>
        <c:minorTickMark val="none"/>
        <c:tickLblPos val="nextTo"/>
        <c:crossAx val="18391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[Hospital_Patients_Dataset.xlsx]Pivot Tables!length</c:name>
    <c:fmtId val="16"/>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93679802734376"/>
          <c:y val="0.12588072667718339"/>
          <c:w val="0.84186212531611915"/>
          <c:h val="0.83861445297796999"/>
        </c:manualLayout>
      </c:layout>
      <c:barChart>
        <c:barDir val="bar"/>
        <c:grouping val="clustered"/>
        <c:varyColors val="0"/>
        <c:ser>
          <c:idx val="0"/>
          <c:order val="0"/>
          <c:tx>
            <c:strRef>
              <c:f>'Pivot Tables'!$E$9</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Tables'!$D$10:$D$15</c:f>
              <c:strCache>
                <c:ptCount val="6"/>
                <c:pt idx="0">
                  <c:v>Cardiology</c:v>
                </c:pt>
                <c:pt idx="1">
                  <c:v>Emergency</c:v>
                </c:pt>
                <c:pt idx="2">
                  <c:v>General</c:v>
                </c:pt>
                <c:pt idx="3">
                  <c:v>Neurology</c:v>
                </c:pt>
                <c:pt idx="4">
                  <c:v>Orthopedics</c:v>
                </c:pt>
                <c:pt idx="5">
                  <c:v>Pediatrics</c:v>
                </c:pt>
              </c:strCache>
            </c:strRef>
          </c:cat>
          <c:val>
            <c:numRef>
              <c:f>'Pivot Tables'!$E$10:$E$15</c:f>
              <c:numCache>
                <c:formatCode>0.00</c:formatCode>
                <c:ptCount val="6"/>
                <c:pt idx="0">
                  <c:v>6.4868421052631575</c:v>
                </c:pt>
                <c:pt idx="1">
                  <c:v>2.0263157894736841</c:v>
                </c:pt>
                <c:pt idx="2">
                  <c:v>3.9285714285714284</c:v>
                </c:pt>
                <c:pt idx="3">
                  <c:v>6.9148936170212769</c:v>
                </c:pt>
                <c:pt idx="4">
                  <c:v>8.3836477987421389</c:v>
                </c:pt>
                <c:pt idx="5">
                  <c:v>3.0392156862745097</c:v>
                </c:pt>
              </c:numCache>
            </c:numRef>
          </c:val>
          <c:extLst>
            <c:ext xmlns:c16="http://schemas.microsoft.com/office/drawing/2014/chart" uri="{C3380CC4-5D6E-409C-BE32-E72D297353CC}">
              <c16:uniqueId val="{00000000-BA25-4A6D-8746-9E8E4CDDAFE8}"/>
            </c:ext>
          </c:extLst>
        </c:ser>
        <c:dLbls>
          <c:dLblPos val="outEnd"/>
          <c:showLegendKey val="0"/>
          <c:showVal val="1"/>
          <c:showCatName val="0"/>
          <c:showSerName val="0"/>
          <c:showPercent val="0"/>
          <c:showBubbleSize val="0"/>
        </c:dLbls>
        <c:gapWidth val="182"/>
        <c:axId val="183878175"/>
        <c:axId val="2001380175"/>
      </c:barChart>
      <c:catAx>
        <c:axId val="1838781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001380175"/>
        <c:crosses val="autoZero"/>
        <c:auto val="1"/>
        <c:lblAlgn val="ctr"/>
        <c:lblOffset val="100"/>
        <c:noMultiLvlLbl val="0"/>
      </c:catAx>
      <c:valAx>
        <c:axId val="2001380175"/>
        <c:scaling>
          <c:orientation val="minMax"/>
        </c:scaling>
        <c:delete val="1"/>
        <c:axPos val="b"/>
        <c:numFmt formatCode="0.00" sourceLinked="1"/>
        <c:majorTickMark val="none"/>
        <c:minorTickMark val="none"/>
        <c:tickLblPos val="nextTo"/>
        <c:crossAx val="18387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[Hospital_Patients_Dataset.xlsx]Pivot Tables!age</c:name>
    <c:fmtId val="21"/>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Tables'!$A$9:$A$13</c:f>
              <c:strCache>
                <c:ptCount val="5"/>
                <c:pt idx="0">
                  <c:v>0–17</c:v>
                </c:pt>
                <c:pt idx="1">
                  <c:v>18–34</c:v>
                </c:pt>
                <c:pt idx="2">
                  <c:v>35–49</c:v>
                </c:pt>
                <c:pt idx="3">
                  <c:v>50–64</c:v>
                </c:pt>
                <c:pt idx="4">
                  <c:v>65+</c:v>
                </c:pt>
              </c:strCache>
            </c:strRef>
          </c:cat>
          <c:val>
            <c:numRef>
              <c:f>'Pivot Tables'!$B$9:$B$13</c:f>
              <c:numCache>
                <c:formatCode>General</c:formatCode>
                <c:ptCount val="5"/>
                <c:pt idx="0">
                  <c:v>153</c:v>
                </c:pt>
                <c:pt idx="1">
                  <c:v>153</c:v>
                </c:pt>
                <c:pt idx="2">
                  <c:v>216</c:v>
                </c:pt>
                <c:pt idx="3">
                  <c:v>235</c:v>
                </c:pt>
                <c:pt idx="4">
                  <c:v>243</c:v>
                </c:pt>
              </c:numCache>
            </c:numRef>
          </c:val>
          <c:extLst>
            <c:ext xmlns:c16="http://schemas.microsoft.com/office/drawing/2014/chart" uri="{C3380CC4-5D6E-409C-BE32-E72D297353CC}">
              <c16:uniqueId val="{00000000-9F2B-4270-B053-785F507AA632}"/>
            </c:ext>
          </c:extLst>
        </c:ser>
        <c:dLbls>
          <c:dLblPos val="outEnd"/>
          <c:showLegendKey val="0"/>
          <c:showVal val="1"/>
          <c:showCatName val="0"/>
          <c:showSerName val="0"/>
          <c:showPercent val="0"/>
          <c:showBubbleSize val="0"/>
        </c:dLbls>
        <c:gapWidth val="219"/>
        <c:overlap val="-27"/>
        <c:axId val="195888127"/>
        <c:axId val="1722152015"/>
      </c:barChart>
      <c:catAx>
        <c:axId val="19588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722152015"/>
        <c:crosses val="autoZero"/>
        <c:auto val="1"/>
        <c:lblAlgn val="ctr"/>
        <c:lblOffset val="100"/>
        <c:noMultiLvlLbl val="0"/>
      </c:catAx>
      <c:valAx>
        <c:axId val="1722152015"/>
        <c:scaling>
          <c:orientation val="minMax"/>
        </c:scaling>
        <c:delete val="1"/>
        <c:axPos val="l"/>
        <c:numFmt formatCode="General" sourceLinked="1"/>
        <c:majorTickMark val="none"/>
        <c:minorTickMark val="none"/>
        <c:tickLblPos val="nextTo"/>
        <c:crossAx val="19588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[Hospital_Patients_Dataset.xlsx]Pivot Tables!Gender</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339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3399"/>
          </a:solidFill>
          <a:ln w="19050">
            <a:solidFill>
              <a:schemeClr val="lt1"/>
            </a:solidFill>
          </a:ln>
          <a:effectLst/>
        </c:spPr>
        <c:dLbl>
          <c:idx val="0"/>
          <c:layout>
            <c:manualLayout>
              <c:x val="9.3335807761651984E-2"/>
              <c:y val="-0.12876912040103636"/>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8662212139403909E-2"/>
                  <c:h val="9.8245511265002555E-2"/>
                </c:manualLayout>
              </c15:layout>
            </c:ext>
          </c:extLst>
        </c:dLbl>
      </c:pivotFmt>
      <c:pivotFmt>
        <c:idx val="6"/>
        <c:spPr>
          <a:solidFill>
            <a:schemeClr val="accent1">
              <a:lumMod val="50000"/>
            </a:schemeClr>
          </a:solidFill>
          <a:ln w="19050">
            <a:solidFill>
              <a:schemeClr val="lt1"/>
            </a:solidFill>
          </a:ln>
          <a:effectLst/>
        </c:spPr>
        <c:dLbl>
          <c:idx val="0"/>
          <c:layout>
            <c:manualLayout>
              <c:x val="-9.0008578182111915E-2"/>
              <c:y val="-8.4034263906790571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652306793226874"/>
                  <c:h val="0.18211651985535771"/>
                </c:manualLayout>
              </c15:layout>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Tables'!$H$34</c:f>
              <c:strCache>
                <c:ptCount val="1"/>
                <c:pt idx="0">
                  <c:v>Total</c:v>
                </c:pt>
              </c:strCache>
            </c:strRef>
          </c:tx>
          <c:spPr>
            <a:solidFill>
              <a:srgbClr val="003399"/>
            </a:solidFill>
          </c:spPr>
          <c:dPt>
            <c:idx val="0"/>
            <c:bubble3D val="0"/>
            <c:explosion val="2"/>
            <c:spPr>
              <a:solidFill>
                <a:srgbClr val="003399"/>
              </a:solidFill>
              <a:ln w="19050">
                <a:solidFill>
                  <a:schemeClr val="lt1"/>
                </a:solidFill>
              </a:ln>
              <a:effectLst/>
            </c:spPr>
            <c:extLst>
              <c:ext xmlns:c16="http://schemas.microsoft.com/office/drawing/2014/chart" uri="{C3380CC4-5D6E-409C-BE32-E72D297353CC}">
                <c16:uniqueId val="{00000001-0065-429A-BB12-3BF384177CA6}"/>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0065-429A-BB12-3BF384177CA6}"/>
              </c:ext>
            </c:extLst>
          </c:dPt>
          <c:dLbls>
            <c:dLbl>
              <c:idx val="0"/>
              <c:layout>
                <c:manualLayout>
                  <c:x val="9.3335807761651984E-2"/>
                  <c:y val="-0.12876912040103636"/>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8662212139403909E-2"/>
                      <c:h val="9.8245511265002555E-2"/>
                    </c:manualLayout>
                  </c15:layout>
                </c:ext>
                <c:ext xmlns:c16="http://schemas.microsoft.com/office/drawing/2014/chart" uri="{C3380CC4-5D6E-409C-BE32-E72D297353CC}">
                  <c16:uniqueId val="{00000001-0065-429A-BB12-3BF384177CA6}"/>
                </c:ext>
              </c:extLst>
            </c:dLbl>
            <c:dLbl>
              <c:idx val="1"/>
              <c:layout>
                <c:manualLayout>
                  <c:x val="-9.0008578182111915E-2"/>
                  <c:y val="-8.4034263906790571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652306793226874"/>
                      <c:h val="0.18211651985535771"/>
                    </c:manualLayout>
                  </c15:layout>
                </c:ext>
                <c:ext xmlns:c16="http://schemas.microsoft.com/office/drawing/2014/chart" uri="{C3380CC4-5D6E-409C-BE32-E72D297353CC}">
                  <c16:uniqueId val="{00000003-0065-429A-BB12-3BF384177CA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Tables'!$G$35:$G$36</c:f>
              <c:strCache>
                <c:ptCount val="2"/>
                <c:pt idx="0">
                  <c:v>Female</c:v>
                </c:pt>
                <c:pt idx="1">
                  <c:v>Male</c:v>
                </c:pt>
              </c:strCache>
            </c:strRef>
          </c:cat>
          <c:val>
            <c:numRef>
              <c:f>'Pivot Tables'!$H$35:$H$36</c:f>
              <c:numCache>
                <c:formatCode>General</c:formatCode>
                <c:ptCount val="2"/>
                <c:pt idx="0">
                  <c:v>512</c:v>
                </c:pt>
                <c:pt idx="1">
                  <c:v>488</c:v>
                </c:pt>
              </c:numCache>
            </c:numRef>
          </c:val>
          <c:extLst>
            <c:ext xmlns:c16="http://schemas.microsoft.com/office/drawing/2014/chart" uri="{C3380CC4-5D6E-409C-BE32-E72D297353CC}">
              <c16:uniqueId val="{00000004-0065-429A-BB12-3BF384177CA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1846035720281241"/>
          <c:y val="0.25171651625977487"/>
          <c:w val="0.14033089615959415"/>
          <c:h val="0.3570383783521943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[Hospital_Patients_Dataset.xlsx]Pivot Tables!Insurance&amp;Diag</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33378710728264E-2"/>
          <c:y val="8.8500006194226155E-2"/>
          <c:w val="0.66861375846100035"/>
          <c:h val="0.87544443572664465"/>
        </c:manualLayout>
      </c:layout>
      <c:barChart>
        <c:barDir val="bar"/>
        <c:grouping val="clustered"/>
        <c:varyColors val="0"/>
        <c:ser>
          <c:idx val="0"/>
          <c:order val="0"/>
          <c:tx>
            <c:strRef>
              <c:f>'Pivot Tables'!$B$18</c:f>
              <c:strCache>
                <c:ptCount val="1"/>
                <c:pt idx="0">
                  <c:v>Average of Insurance Coverage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Tables'!$A$19:$A$25</c:f>
              <c:strCache>
                <c:ptCount val="6"/>
                <c:pt idx="0">
                  <c:v>Cardiology</c:v>
                </c:pt>
                <c:pt idx="1">
                  <c:v>Emergency</c:v>
                </c:pt>
                <c:pt idx="2">
                  <c:v>General</c:v>
                </c:pt>
                <c:pt idx="3">
                  <c:v>Neurology</c:v>
                </c:pt>
                <c:pt idx="4">
                  <c:v>Orthopedics</c:v>
                </c:pt>
                <c:pt idx="5">
                  <c:v>Pediatrics</c:v>
                </c:pt>
              </c:strCache>
            </c:strRef>
          </c:cat>
          <c:val>
            <c:numRef>
              <c:f>'Pivot Tables'!$B$19:$B$25</c:f>
              <c:numCache>
                <c:formatCode>0"%"</c:formatCode>
                <c:ptCount val="6"/>
                <c:pt idx="0">
                  <c:v>76.315789473684205</c:v>
                </c:pt>
                <c:pt idx="1">
                  <c:v>76.15789473684211</c:v>
                </c:pt>
                <c:pt idx="2">
                  <c:v>73.888888888888886</c:v>
                </c:pt>
                <c:pt idx="3">
                  <c:v>74.574468085106389</c:v>
                </c:pt>
                <c:pt idx="4">
                  <c:v>74.465408805031444</c:v>
                </c:pt>
                <c:pt idx="5">
                  <c:v>73.986928104575156</c:v>
                </c:pt>
              </c:numCache>
            </c:numRef>
          </c:val>
          <c:extLst>
            <c:ext xmlns:c16="http://schemas.microsoft.com/office/drawing/2014/chart" uri="{C3380CC4-5D6E-409C-BE32-E72D297353CC}">
              <c16:uniqueId val="{00000000-CF06-47D7-BB46-588FCA599A4E}"/>
            </c:ext>
          </c:extLst>
        </c:ser>
        <c:ser>
          <c:idx val="1"/>
          <c:order val="1"/>
          <c:tx>
            <c:strRef>
              <c:f>'Pivot Tables'!$C$18</c:f>
              <c:strCache>
                <c:ptCount val="1"/>
                <c:pt idx="0">
                  <c:v>Count of Diagnosis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Tables'!$A$19:$A$25</c:f>
              <c:strCache>
                <c:ptCount val="6"/>
                <c:pt idx="0">
                  <c:v>Cardiology</c:v>
                </c:pt>
                <c:pt idx="1">
                  <c:v>Emergency</c:v>
                </c:pt>
                <c:pt idx="2">
                  <c:v>General</c:v>
                </c:pt>
                <c:pt idx="3">
                  <c:v>Neurology</c:v>
                </c:pt>
                <c:pt idx="4">
                  <c:v>Orthopedics</c:v>
                </c:pt>
                <c:pt idx="5">
                  <c:v>Pediatrics</c:v>
                </c:pt>
              </c:strCache>
            </c:strRef>
          </c:cat>
          <c:val>
            <c:numRef>
              <c:f>'Pivot Tables'!$C$19:$C$25</c:f>
              <c:numCache>
                <c:formatCode>General</c:formatCode>
                <c:ptCount val="6"/>
                <c:pt idx="0">
                  <c:v>152</c:v>
                </c:pt>
                <c:pt idx="1">
                  <c:v>190</c:v>
                </c:pt>
                <c:pt idx="2">
                  <c:v>252</c:v>
                </c:pt>
                <c:pt idx="3">
                  <c:v>94</c:v>
                </c:pt>
                <c:pt idx="4">
                  <c:v>159</c:v>
                </c:pt>
                <c:pt idx="5">
                  <c:v>153</c:v>
                </c:pt>
              </c:numCache>
            </c:numRef>
          </c:val>
          <c:extLst>
            <c:ext xmlns:c16="http://schemas.microsoft.com/office/drawing/2014/chart" uri="{C3380CC4-5D6E-409C-BE32-E72D297353CC}">
              <c16:uniqueId val="{00000001-CF06-47D7-BB46-588FCA599A4E}"/>
            </c:ext>
          </c:extLst>
        </c:ser>
        <c:dLbls>
          <c:dLblPos val="outEnd"/>
          <c:showLegendKey val="0"/>
          <c:showVal val="1"/>
          <c:showCatName val="0"/>
          <c:showSerName val="0"/>
          <c:showPercent val="0"/>
          <c:showBubbleSize val="0"/>
        </c:dLbls>
        <c:gapWidth val="182"/>
        <c:axId val="1339053295"/>
        <c:axId val="1258790607"/>
      </c:barChart>
      <c:catAx>
        <c:axId val="1339053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58790607"/>
        <c:crosses val="autoZero"/>
        <c:auto val="1"/>
        <c:lblAlgn val="ctr"/>
        <c:lblOffset val="100"/>
        <c:noMultiLvlLbl val="0"/>
      </c:catAx>
      <c:valAx>
        <c:axId val="1258790607"/>
        <c:scaling>
          <c:orientation val="minMax"/>
        </c:scaling>
        <c:delete val="1"/>
        <c:axPos val="b"/>
        <c:numFmt formatCode="0&quot;%&quot;" sourceLinked="1"/>
        <c:majorTickMark val="none"/>
        <c:minorTickMark val="none"/>
        <c:tickLblPos val="nextTo"/>
        <c:crossAx val="1339053295"/>
        <c:crosses val="autoZero"/>
        <c:crossBetween val="between"/>
      </c:valAx>
      <c:spPr>
        <a:noFill/>
        <a:ln>
          <a:noFill/>
        </a:ln>
        <a:effectLst/>
      </c:spPr>
    </c:plotArea>
    <c:legend>
      <c:legendPos val="r"/>
      <c:layout>
        <c:manualLayout>
          <c:xMode val="edge"/>
          <c:yMode val="edge"/>
          <c:x val="0.79749648708976584"/>
          <c:y val="0.38035000474890673"/>
          <c:w val="0.19484117543072493"/>
          <c:h val="0.2753555485813157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20</xdr:col>
      <xdr:colOff>566380</xdr:colOff>
      <xdr:row>5</xdr:row>
      <xdr:rowOff>163285</xdr:rowOff>
    </xdr:from>
    <xdr:to>
      <xdr:col>68</xdr:col>
      <xdr:colOff>244929</xdr:colOff>
      <xdr:row>99</xdr:row>
      <xdr:rowOff>88901</xdr:rowOff>
    </xdr:to>
    <xdr:grpSp>
      <xdr:nvGrpSpPr>
        <xdr:cNvPr id="37" name="Group 36">
          <a:extLst>
            <a:ext uri="{FF2B5EF4-FFF2-40B4-BE49-F238E27FC236}">
              <a16:creationId xmlns:a16="http://schemas.microsoft.com/office/drawing/2014/main" id="{DA2A0BDB-EEF0-1EDA-097F-54AE253305F6}"/>
            </a:ext>
          </a:extLst>
        </xdr:cNvPr>
        <xdr:cNvGrpSpPr/>
      </xdr:nvGrpSpPr>
      <xdr:grpSpPr>
        <a:xfrm>
          <a:off x="12689107" y="1173512"/>
          <a:ext cx="28773095" cy="18917889"/>
          <a:chOff x="12689107" y="1173512"/>
          <a:chExt cx="28773095" cy="18917889"/>
        </a:xfrm>
      </xdr:grpSpPr>
      <xdr:sp macro="" textlink="">
        <xdr:nvSpPr>
          <xdr:cNvPr id="2" name="Rectangle: Rounded Corners 1">
            <a:extLst>
              <a:ext uri="{FF2B5EF4-FFF2-40B4-BE49-F238E27FC236}">
                <a16:creationId xmlns:a16="http://schemas.microsoft.com/office/drawing/2014/main" id="{8EB0E8EC-3053-4B29-06AE-B76BAEBE3ABA}"/>
              </a:ext>
            </a:extLst>
          </xdr:cNvPr>
          <xdr:cNvSpPr/>
        </xdr:nvSpPr>
        <xdr:spPr>
          <a:xfrm>
            <a:off x="12689107" y="1173512"/>
            <a:ext cx="28773095" cy="18917889"/>
          </a:xfrm>
          <a:prstGeom prst="roundRect">
            <a:avLst>
              <a:gd name="adj" fmla="val 5123"/>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35BCF06B-197D-42FC-8B12-2B7BA858C11C}"/>
              </a:ext>
            </a:extLst>
          </xdr:cNvPr>
          <xdr:cNvSpPr/>
        </xdr:nvSpPr>
        <xdr:spPr>
          <a:xfrm>
            <a:off x="13152461" y="1688854"/>
            <a:ext cx="27852691" cy="17966215"/>
          </a:xfrm>
          <a:prstGeom prst="roundRect">
            <a:avLst>
              <a:gd name="adj" fmla="val 512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1608C454-CA2C-4431-902A-0428E3BBF9BE}"/>
              </a:ext>
            </a:extLst>
          </xdr:cNvPr>
          <xdr:cNvSpPr/>
        </xdr:nvSpPr>
        <xdr:spPr>
          <a:xfrm>
            <a:off x="18140989" y="3175833"/>
            <a:ext cx="3277362" cy="1753287"/>
          </a:xfrm>
          <a:prstGeom prst="roundRect">
            <a:avLst>
              <a:gd name="adj" fmla="val 13464"/>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graphicFrame macro="">
        <xdr:nvGraphicFramePr>
          <xdr:cNvPr id="10" name="Chart 9">
            <a:extLst>
              <a:ext uri="{FF2B5EF4-FFF2-40B4-BE49-F238E27FC236}">
                <a16:creationId xmlns:a16="http://schemas.microsoft.com/office/drawing/2014/main" id="{D7B4FF6C-9623-42ED-985C-9ED08A9E92F4}"/>
              </a:ext>
            </a:extLst>
          </xdr:cNvPr>
          <xdr:cNvGraphicFramePr>
            <a:graphicFrameLocks/>
          </xdr:cNvGraphicFramePr>
        </xdr:nvGraphicFramePr>
        <xdr:xfrm>
          <a:off x="25971133" y="5226522"/>
          <a:ext cx="6971838" cy="406979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1" name="Chart 10">
            <a:extLst>
              <a:ext uri="{FF2B5EF4-FFF2-40B4-BE49-F238E27FC236}">
                <a16:creationId xmlns:a16="http://schemas.microsoft.com/office/drawing/2014/main" id="{CBE160C3-8256-4BF7-A5C3-5E7C10328113}"/>
              </a:ext>
            </a:extLst>
          </xdr:cNvPr>
          <xdr:cNvGraphicFramePr>
            <a:graphicFrameLocks/>
          </xdr:cNvGraphicFramePr>
        </xdr:nvGraphicFramePr>
        <xdr:xfrm>
          <a:off x="18060958" y="14597949"/>
          <a:ext cx="10744484" cy="461519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4" name="Chart 13">
            <a:extLst>
              <a:ext uri="{FF2B5EF4-FFF2-40B4-BE49-F238E27FC236}">
                <a16:creationId xmlns:a16="http://schemas.microsoft.com/office/drawing/2014/main" id="{ED350D84-2EF4-4EF1-8F4F-8949FB229F02}"/>
              </a:ext>
            </a:extLst>
          </xdr:cNvPr>
          <xdr:cNvGraphicFramePr>
            <a:graphicFrameLocks/>
          </xdr:cNvGraphicFramePr>
        </xdr:nvGraphicFramePr>
        <xdr:xfrm>
          <a:off x="18106493" y="5226522"/>
          <a:ext cx="7330170" cy="405577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5" name="Chart 14">
            <a:extLst>
              <a:ext uri="{FF2B5EF4-FFF2-40B4-BE49-F238E27FC236}">
                <a16:creationId xmlns:a16="http://schemas.microsoft.com/office/drawing/2014/main" id="{453621AD-0F95-4D9F-8375-63B7D95455D1}"/>
              </a:ext>
            </a:extLst>
          </xdr:cNvPr>
          <xdr:cNvGraphicFramePr>
            <a:graphicFrameLocks/>
          </xdr:cNvGraphicFramePr>
        </xdr:nvGraphicFramePr>
        <xdr:xfrm>
          <a:off x="33477443" y="5226522"/>
          <a:ext cx="6878905" cy="405774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7" name="Chart 16">
            <a:extLst>
              <a:ext uri="{FF2B5EF4-FFF2-40B4-BE49-F238E27FC236}">
                <a16:creationId xmlns:a16="http://schemas.microsoft.com/office/drawing/2014/main" id="{983E3948-C913-4589-BF3A-E0B856C7ED0C}"/>
              </a:ext>
            </a:extLst>
          </xdr:cNvPr>
          <xdr:cNvGraphicFramePr>
            <a:graphicFrameLocks/>
          </xdr:cNvGraphicFramePr>
        </xdr:nvGraphicFramePr>
        <xdr:xfrm>
          <a:off x="18090068" y="9538566"/>
          <a:ext cx="7424400" cy="4867447"/>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graphicFrame macro="">
            <xdr:nvGraphicFramePr>
              <xdr:cNvPr id="18" name="Department">
                <a:extLst>
                  <a:ext uri="{FF2B5EF4-FFF2-40B4-BE49-F238E27FC236}">
                    <a16:creationId xmlns:a16="http://schemas.microsoft.com/office/drawing/2014/main" id="{389BB625-842A-4EF8-8E29-720C3723C79D}"/>
                  </a:ext>
                </a:extLst>
              </xdr:cNvPr>
              <xdr:cNvGraphicFramePr/>
            </xdr:nvGraphicFramePr>
            <xdr:xfrm>
              <a:off x="13575591" y="14286583"/>
              <a:ext cx="4165550" cy="4841481"/>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575591" y="14286583"/>
                <a:ext cx="4165550" cy="48414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3362EB55-A734-459B-8EC6-21E128DF802D}"/>
                  </a:ext>
                </a:extLst>
              </xdr:cNvPr>
              <xdr:cNvGraphicFramePr/>
            </xdr:nvGraphicFramePr>
            <xdr:xfrm>
              <a:off x="13575591" y="3242293"/>
              <a:ext cx="4185133" cy="2017457"/>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575591" y="3242293"/>
                <a:ext cx="4185133" cy="2017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0" name="Years (Admission Date)">
                <a:extLst>
                  <a:ext uri="{FF2B5EF4-FFF2-40B4-BE49-F238E27FC236}">
                    <a16:creationId xmlns:a16="http://schemas.microsoft.com/office/drawing/2014/main" id="{DC222232-DCF7-45D0-BECF-9239BE7FF894}"/>
                  </a:ext>
                </a:extLst>
              </xdr:cNvPr>
              <xdr:cNvGraphicFramePr/>
            </xdr:nvGraphicFramePr>
            <xdr:xfrm>
              <a:off x="13575591" y="5395834"/>
              <a:ext cx="4183572" cy="3239895"/>
            </xdr:xfrm>
            <a:graphic>
              <a:graphicData uri="http://schemas.microsoft.com/office/drawing/2010/slicer">
                <sle:slicer xmlns:sle="http://schemas.microsoft.com/office/drawing/2010/slicer" name="Years (Admission Date)"/>
              </a:graphicData>
            </a:graphic>
          </xdr:graphicFrame>
        </mc:Choice>
        <mc:Fallback xmlns="">
          <xdr:sp macro="" textlink="">
            <xdr:nvSpPr>
              <xdr:cNvPr id="0" name=""/>
              <xdr:cNvSpPr>
                <a:spLocks noTextEdit="1"/>
              </xdr:cNvSpPr>
            </xdr:nvSpPr>
            <xdr:spPr>
              <a:xfrm>
                <a:off x="13575591" y="5395834"/>
                <a:ext cx="4183572" cy="3239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1" name="TextBox 20">
            <a:extLst>
              <a:ext uri="{FF2B5EF4-FFF2-40B4-BE49-F238E27FC236}">
                <a16:creationId xmlns:a16="http://schemas.microsoft.com/office/drawing/2014/main" id="{348DA64A-AB5A-45AA-BAF2-FEDB1625FDAF}"/>
              </a:ext>
            </a:extLst>
          </xdr:cNvPr>
          <xdr:cNvSpPr txBox="1"/>
        </xdr:nvSpPr>
        <xdr:spPr>
          <a:xfrm>
            <a:off x="14049277" y="2099511"/>
            <a:ext cx="7181305" cy="745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200" b="1">
                <a:ln>
                  <a:noFill/>
                </a:ln>
                <a:solidFill>
                  <a:srgbClr val="002060"/>
                </a:solidFill>
                <a:effectLst/>
                <a:latin typeface="+mn-lt"/>
                <a:ea typeface="+mn-ea"/>
                <a:cs typeface="+mn-cs"/>
              </a:rPr>
              <a:t>Secure Life General </a:t>
            </a:r>
            <a:r>
              <a:rPr lang="en-US" sz="3600" b="1">
                <a:ln>
                  <a:noFill/>
                </a:ln>
                <a:solidFill>
                  <a:srgbClr val="002060"/>
                </a:solidFill>
                <a:effectLst/>
                <a:latin typeface="+mn-lt"/>
                <a:ea typeface="+mn-ea"/>
                <a:cs typeface="+mn-cs"/>
              </a:rPr>
              <a:t>Hospital</a:t>
            </a:r>
            <a:r>
              <a:rPr lang="en-US" sz="3200" b="1">
                <a:ln>
                  <a:noFill/>
                </a:ln>
                <a:solidFill>
                  <a:srgbClr val="002060"/>
                </a:solidFill>
                <a:effectLst/>
                <a:latin typeface="+mn-lt"/>
                <a:ea typeface="+mn-ea"/>
                <a:cs typeface="+mn-cs"/>
              </a:rPr>
              <a:t> Report</a:t>
            </a:r>
            <a:endParaRPr lang="en-US" sz="3200">
              <a:ln>
                <a:noFill/>
              </a:ln>
              <a:solidFill>
                <a:srgbClr val="002060"/>
              </a:solidFill>
            </a:endParaRPr>
          </a:p>
        </xdr:txBody>
      </xdr:sp>
      <xdr:sp macro="" textlink="">
        <xdr:nvSpPr>
          <xdr:cNvPr id="29" name="Rectangle: Rounded Corners 28">
            <a:extLst>
              <a:ext uri="{FF2B5EF4-FFF2-40B4-BE49-F238E27FC236}">
                <a16:creationId xmlns:a16="http://schemas.microsoft.com/office/drawing/2014/main" id="{1E072535-C318-4C6F-9712-CDDF6B10B008}"/>
              </a:ext>
            </a:extLst>
          </xdr:cNvPr>
          <xdr:cNvSpPr/>
        </xdr:nvSpPr>
        <xdr:spPr>
          <a:xfrm>
            <a:off x="22020812" y="3175833"/>
            <a:ext cx="3271137" cy="1753287"/>
          </a:xfrm>
          <a:prstGeom prst="roundRect">
            <a:avLst>
              <a:gd name="adj" fmla="val 13464"/>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30" name="Rectangle: Rounded Corners 29">
            <a:extLst>
              <a:ext uri="{FF2B5EF4-FFF2-40B4-BE49-F238E27FC236}">
                <a16:creationId xmlns:a16="http://schemas.microsoft.com/office/drawing/2014/main" id="{B8CCDD92-5D3B-43C5-A951-D02199C73E7E}"/>
              </a:ext>
            </a:extLst>
          </xdr:cNvPr>
          <xdr:cNvSpPr/>
        </xdr:nvSpPr>
        <xdr:spPr>
          <a:xfrm>
            <a:off x="25790672" y="3175833"/>
            <a:ext cx="3277362" cy="1753287"/>
          </a:xfrm>
          <a:prstGeom prst="roundRect">
            <a:avLst>
              <a:gd name="adj" fmla="val 13464"/>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31" name="Rectangle: Rounded Corners 30">
            <a:extLst>
              <a:ext uri="{FF2B5EF4-FFF2-40B4-BE49-F238E27FC236}">
                <a16:creationId xmlns:a16="http://schemas.microsoft.com/office/drawing/2014/main" id="{C7276E43-465B-420A-A4C6-A462A75892E8}"/>
              </a:ext>
            </a:extLst>
          </xdr:cNvPr>
          <xdr:cNvSpPr/>
        </xdr:nvSpPr>
        <xdr:spPr>
          <a:xfrm>
            <a:off x="29566756" y="3175833"/>
            <a:ext cx="3271138" cy="1753287"/>
          </a:xfrm>
          <a:prstGeom prst="roundRect">
            <a:avLst>
              <a:gd name="adj" fmla="val 13464"/>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32" name="Rectangle: Rounded Corners 31">
            <a:extLst>
              <a:ext uri="{FF2B5EF4-FFF2-40B4-BE49-F238E27FC236}">
                <a16:creationId xmlns:a16="http://schemas.microsoft.com/office/drawing/2014/main" id="{784FDA65-73B0-48F2-98CF-FDECA1A73790}"/>
              </a:ext>
            </a:extLst>
          </xdr:cNvPr>
          <xdr:cNvSpPr/>
        </xdr:nvSpPr>
        <xdr:spPr>
          <a:xfrm>
            <a:off x="33336618" y="3175833"/>
            <a:ext cx="3277362" cy="1753287"/>
          </a:xfrm>
          <a:prstGeom prst="roundRect">
            <a:avLst>
              <a:gd name="adj" fmla="val 13464"/>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33" name="Rectangle: Rounded Corners 32">
            <a:extLst>
              <a:ext uri="{FF2B5EF4-FFF2-40B4-BE49-F238E27FC236}">
                <a16:creationId xmlns:a16="http://schemas.microsoft.com/office/drawing/2014/main" id="{0AEEBA59-8E4E-47A3-B6AA-346DC60B3B26}"/>
              </a:ext>
            </a:extLst>
          </xdr:cNvPr>
          <xdr:cNvSpPr/>
        </xdr:nvSpPr>
        <xdr:spPr>
          <a:xfrm>
            <a:off x="37112703" y="3175833"/>
            <a:ext cx="3277362" cy="1753287"/>
          </a:xfrm>
          <a:prstGeom prst="roundRect">
            <a:avLst>
              <a:gd name="adj" fmla="val 13464"/>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34" name="Rectangle: Rounded Corners 33">
            <a:extLst>
              <a:ext uri="{FF2B5EF4-FFF2-40B4-BE49-F238E27FC236}">
                <a16:creationId xmlns:a16="http://schemas.microsoft.com/office/drawing/2014/main" id="{6AA934D1-F770-4547-A7B9-29575487E73B}"/>
              </a:ext>
            </a:extLst>
          </xdr:cNvPr>
          <xdr:cNvSpPr/>
        </xdr:nvSpPr>
        <xdr:spPr>
          <a:xfrm>
            <a:off x="13942687" y="2005856"/>
            <a:ext cx="7799845" cy="915337"/>
          </a:xfrm>
          <a:prstGeom prst="roundRect">
            <a:avLst>
              <a:gd name="adj" fmla="val 13464"/>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36" name="TextBox 35">
            <a:extLst>
              <a:ext uri="{FF2B5EF4-FFF2-40B4-BE49-F238E27FC236}">
                <a16:creationId xmlns:a16="http://schemas.microsoft.com/office/drawing/2014/main" id="{A93C5B5B-48AB-4D5F-7C0F-9174AD028F65}"/>
              </a:ext>
            </a:extLst>
          </xdr:cNvPr>
          <xdr:cNvSpPr txBox="1"/>
        </xdr:nvSpPr>
        <xdr:spPr>
          <a:xfrm>
            <a:off x="18262101" y="5360993"/>
            <a:ext cx="4841480" cy="5636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Top</a:t>
            </a:r>
            <a:r>
              <a:rPr lang="en-US" sz="1600" b="1" baseline="0">
                <a:solidFill>
                  <a:schemeClr val="tx1"/>
                </a:solidFill>
              </a:rPr>
              <a:t> 4 Departments with Highest Bills</a:t>
            </a:r>
            <a:endParaRPr lang="en-US" sz="1600" b="1">
              <a:solidFill>
                <a:schemeClr val="tx1"/>
              </a:solidFill>
            </a:endParaRPr>
          </a:p>
        </xdr:txBody>
      </xdr:sp>
      <xdr:sp macro="" textlink="">
        <xdr:nvSpPr>
          <xdr:cNvPr id="38" name="TextBox 37">
            <a:extLst>
              <a:ext uri="{FF2B5EF4-FFF2-40B4-BE49-F238E27FC236}">
                <a16:creationId xmlns:a16="http://schemas.microsoft.com/office/drawing/2014/main" id="{0FD57175-8139-47A8-BAE6-287CA0397BA7}"/>
              </a:ext>
            </a:extLst>
          </xdr:cNvPr>
          <xdr:cNvSpPr txBox="1"/>
        </xdr:nvSpPr>
        <xdr:spPr>
          <a:xfrm>
            <a:off x="26118743" y="5222457"/>
            <a:ext cx="2863187" cy="396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Proportions of Patient Bills</a:t>
            </a:r>
          </a:p>
        </xdr:txBody>
      </xdr:sp>
      <xdr:sp macro="" textlink="">
        <xdr:nvSpPr>
          <xdr:cNvPr id="39" name="TextBox 38">
            <a:extLst>
              <a:ext uri="{FF2B5EF4-FFF2-40B4-BE49-F238E27FC236}">
                <a16:creationId xmlns:a16="http://schemas.microsoft.com/office/drawing/2014/main" id="{B49061F5-56B5-4668-A9E5-D6124F3FEE37}"/>
              </a:ext>
            </a:extLst>
          </xdr:cNvPr>
          <xdr:cNvSpPr txBox="1"/>
        </xdr:nvSpPr>
        <xdr:spPr>
          <a:xfrm>
            <a:off x="33617487" y="5292564"/>
            <a:ext cx="4841480" cy="340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Top</a:t>
            </a:r>
            <a:r>
              <a:rPr lang="en-US" sz="1600" b="1" baseline="0">
                <a:solidFill>
                  <a:schemeClr val="tx1"/>
                </a:solidFill>
              </a:rPr>
              <a:t> 4 Departments with Patient ID</a:t>
            </a:r>
            <a:endParaRPr lang="en-US" sz="1600" b="1">
              <a:solidFill>
                <a:schemeClr val="tx1"/>
              </a:solidFill>
            </a:endParaRPr>
          </a:p>
        </xdr:txBody>
      </xdr:sp>
      <xdr:sp macro="" textlink="">
        <xdr:nvSpPr>
          <xdr:cNvPr id="40" name="TextBox 39">
            <a:extLst>
              <a:ext uri="{FF2B5EF4-FFF2-40B4-BE49-F238E27FC236}">
                <a16:creationId xmlns:a16="http://schemas.microsoft.com/office/drawing/2014/main" id="{F7D683DE-1739-4782-ADEB-B91D498E3336}"/>
              </a:ext>
            </a:extLst>
          </xdr:cNvPr>
          <xdr:cNvSpPr txBox="1"/>
        </xdr:nvSpPr>
        <xdr:spPr>
          <a:xfrm>
            <a:off x="18250690" y="9591661"/>
            <a:ext cx="4841480" cy="3965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tx1"/>
                </a:solidFill>
              </a:rPr>
              <a:t>Departments by Avg Length of Stay (Days)</a:t>
            </a:r>
            <a:endParaRPr lang="en-US" sz="1600" b="1">
              <a:solidFill>
                <a:schemeClr val="tx1"/>
              </a:solidFill>
            </a:endParaRPr>
          </a:p>
        </xdr:txBody>
      </xdr:sp>
      <xdr:graphicFrame macro="">
        <xdr:nvGraphicFramePr>
          <xdr:cNvPr id="41" name="Chart 40">
            <a:extLst>
              <a:ext uri="{FF2B5EF4-FFF2-40B4-BE49-F238E27FC236}">
                <a16:creationId xmlns:a16="http://schemas.microsoft.com/office/drawing/2014/main" id="{132641AC-CD41-424A-BA77-1E99E3902877}"/>
              </a:ext>
            </a:extLst>
          </xdr:cNvPr>
          <xdr:cNvGraphicFramePr>
            <a:graphicFrameLocks/>
          </xdr:cNvGraphicFramePr>
        </xdr:nvGraphicFramePr>
        <xdr:xfrm>
          <a:off x="33157666" y="9538566"/>
          <a:ext cx="7177415" cy="4906273"/>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42" name="Chart 41">
            <a:extLst>
              <a:ext uri="{FF2B5EF4-FFF2-40B4-BE49-F238E27FC236}">
                <a16:creationId xmlns:a16="http://schemas.microsoft.com/office/drawing/2014/main" id="{9AFE85C3-03D8-4D6B-BD56-F0E18E575168}"/>
              </a:ext>
            </a:extLst>
          </xdr:cNvPr>
          <xdr:cNvGraphicFramePr>
            <a:graphicFrameLocks/>
          </xdr:cNvGraphicFramePr>
        </xdr:nvGraphicFramePr>
        <xdr:xfrm>
          <a:off x="26057277" y="9538566"/>
          <a:ext cx="6536829" cy="4834449"/>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44" name="TextBox 43">
            <a:extLst>
              <a:ext uri="{FF2B5EF4-FFF2-40B4-BE49-F238E27FC236}">
                <a16:creationId xmlns:a16="http://schemas.microsoft.com/office/drawing/2014/main" id="{222D8842-BA85-4067-95E5-69C956CBD2A0}"/>
              </a:ext>
            </a:extLst>
          </xdr:cNvPr>
          <xdr:cNvSpPr txBox="1"/>
        </xdr:nvSpPr>
        <xdr:spPr>
          <a:xfrm>
            <a:off x="26194480" y="9610763"/>
            <a:ext cx="1339763" cy="4557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tx1"/>
                </a:solidFill>
              </a:rPr>
              <a:t>Gender</a:t>
            </a:r>
            <a:endParaRPr lang="en-US" sz="1600" b="1">
              <a:solidFill>
                <a:schemeClr val="tx1"/>
              </a:solidFill>
            </a:endParaRPr>
          </a:p>
        </xdr:txBody>
      </xdr:sp>
      <xdr:sp macro="" textlink="">
        <xdr:nvSpPr>
          <xdr:cNvPr id="45" name="TextBox 44">
            <a:extLst>
              <a:ext uri="{FF2B5EF4-FFF2-40B4-BE49-F238E27FC236}">
                <a16:creationId xmlns:a16="http://schemas.microsoft.com/office/drawing/2014/main" id="{79CBF91D-22DB-4F8D-9DBD-281064A7BAE1}"/>
              </a:ext>
            </a:extLst>
          </xdr:cNvPr>
          <xdr:cNvSpPr txBox="1"/>
        </xdr:nvSpPr>
        <xdr:spPr>
          <a:xfrm>
            <a:off x="33431225" y="9777399"/>
            <a:ext cx="4841480" cy="3932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tx1"/>
                </a:solidFill>
              </a:rPr>
              <a:t>Age Group by Patient ID</a:t>
            </a:r>
            <a:endParaRPr lang="en-US" sz="1600" b="1">
              <a:solidFill>
                <a:schemeClr val="tx1"/>
              </a:solidFill>
            </a:endParaRPr>
          </a:p>
        </xdr:txBody>
      </xdr:sp>
      <xdr:sp macro="" textlink="">
        <xdr:nvSpPr>
          <xdr:cNvPr id="5" name="Oval 4">
            <a:extLst>
              <a:ext uri="{FF2B5EF4-FFF2-40B4-BE49-F238E27FC236}">
                <a16:creationId xmlns:a16="http://schemas.microsoft.com/office/drawing/2014/main" id="{A779B832-8E3B-5607-D69F-EDE8909A362F}"/>
              </a:ext>
            </a:extLst>
          </xdr:cNvPr>
          <xdr:cNvSpPr/>
        </xdr:nvSpPr>
        <xdr:spPr>
          <a:xfrm>
            <a:off x="27480436" y="10416268"/>
            <a:ext cx="2884303" cy="3008944"/>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5638F643-2E61-81A4-3C69-BB5197DA3C4E}"/>
              </a:ext>
            </a:extLst>
          </xdr:cNvPr>
          <xdr:cNvSpPr txBox="1"/>
        </xdr:nvSpPr>
        <xdr:spPr>
          <a:xfrm>
            <a:off x="28075176" y="11096617"/>
            <a:ext cx="1717172" cy="14477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tx1"/>
                </a:solidFill>
              </a:rPr>
              <a:t>Gender</a:t>
            </a:r>
            <a:br>
              <a:rPr lang="en-US" sz="3200" b="1">
                <a:solidFill>
                  <a:schemeClr val="tx1"/>
                </a:solidFill>
              </a:rPr>
            </a:br>
            <a:r>
              <a:rPr lang="en-US" sz="3200" b="1">
                <a:solidFill>
                  <a:schemeClr val="tx1"/>
                </a:solidFill>
              </a:rPr>
              <a:t>1000</a:t>
            </a:r>
          </a:p>
        </xdr:txBody>
      </xdr:sp>
      <mc:AlternateContent xmlns:mc="http://schemas.openxmlformats.org/markup-compatibility/2006" xmlns:a14="http://schemas.microsoft.com/office/drawing/2010/main">
        <mc:Choice Requires="a14">
          <xdr:graphicFrame macro="">
            <xdr:nvGraphicFramePr>
              <xdr:cNvPr id="8" name="Insurance Coverage %">
                <a:extLst>
                  <a:ext uri="{FF2B5EF4-FFF2-40B4-BE49-F238E27FC236}">
                    <a16:creationId xmlns:a16="http://schemas.microsoft.com/office/drawing/2014/main" id="{6EC3630F-34D9-48B7-9695-AE35B3B88859}"/>
                  </a:ext>
                </a:extLst>
              </xdr:cNvPr>
              <xdr:cNvGraphicFramePr/>
            </xdr:nvGraphicFramePr>
            <xdr:xfrm>
              <a:off x="13575591" y="8767916"/>
              <a:ext cx="4185133" cy="5386479"/>
            </xdr:xfrm>
            <a:graphic>
              <a:graphicData uri="http://schemas.microsoft.com/office/drawing/2010/slicer">
                <sle:slicer xmlns:sle="http://schemas.microsoft.com/office/drawing/2010/slicer" name="Insurance Coverage %"/>
              </a:graphicData>
            </a:graphic>
          </xdr:graphicFrame>
        </mc:Choice>
        <mc:Fallback xmlns="">
          <xdr:sp macro="" textlink="">
            <xdr:nvSpPr>
              <xdr:cNvPr id="0" name=""/>
              <xdr:cNvSpPr>
                <a:spLocks noTextEdit="1"/>
              </xdr:cNvSpPr>
            </xdr:nvSpPr>
            <xdr:spPr>
              <a:xfrm>
                <a:off x="13575591" y="8767916"/>
                <a:ext cx="4185133" cy="5386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9" name="Chart 8">
            <a:extLst>
              <a:ext uri="{FF2B5EF4-FFF2-40B4-BE49-F238E27FC236}">
                <a16:creationId xmlns:a16="http://schemas.microsoft.com/office/drawing/2014/main" id="{6F883F9B-D3AF-40D2-AE2E-537B21090F55}"/>
              </a:ext>
            </a:extLst>
          </xdr:cNvPr>
          <xdr:cNvGraphicFramePr>
            <a:graphicFrameLocks/>
          </xdr:cNvGraphicFramePr>
        </xdr:nvGraphicFramePr>
        <xdr:xfrm>
          <a:off x="29328092" y="14594491"/>
          <a:ext cx="11028256" cy="4589638"/>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3" name="TextBox 12">
            <a:extLst>
              <a:ext uri="{FF2B5EF4-FFF2-40B4-BE49-F238E27FC236}">
                <a16:creationId xmlns:a16="http://schemas.microsoft.com/office/drawing/2014/main" id="{BF1E8E01-86AD-436F-9446-DB0D9BFEB430}"/>
              </a:ext>
            </a:extLst>
          </xdr:cNvPr>
          <xdr:cNvSpPr txBox="1"/>
        </xdr:nvSpPr>
        <xdr:spPr>
          <a:xfrm>
            <a:off x="29567303" y="14634199"/>
            <a:ext cx="4841480" cy="392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tx1"/>
                </a:solidFill>
              </a:rPr>
              <a:t>Departments by Insurance and Diagnosis</a:t>
            </a:r>
          </a:p>
          <a:p>
            <a:endParaRPr lang="en-US" sz="1600" b="1">
              <a:solidFill>
                <a:schemeClr val="tx1"/>
              </a:solidFill>
            </a:endParaRPr>
          </a:p>
        </xdr:txBody>
      </xdr:sp>
      <xdr:sp macro="" textlink="">
        <xdr:nvSpPr>
          <xdr:cNvPr id="7" name="TextBox 6">
            <a:extLst>
              <a:ext uri="{FF2B5EF4-FFF2-40B4-BE49-F238E27FC236}">
                <a16:creationId xmlns:a16="http://schemas.microsoft.com/office/drawing/2014/main" id="{8EC1E267-A734-1D21-0A33-EFB684FCF114}"/>
              </a:ext>
            </a:extLst>
          </xdr:cNvPr>
          <xdr:cNvSpPr txBox="1"/>
        </xdr:nvSpPr>
        <xdr:spPr>
          <a:xfrm>
            <a:off x="18505111" y="3262537"/>
            <a:ext cx="2562601" cy="452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mj-lt"/>
              </a:rPr>
              <a:t>Total Patients Visit</a:t>
            </a:r>
          </a:p>
        </xdr:txBody>
      </xdr:sp>
      <xdr:sp macro="" textlink="">
        <xdr:nvSpPr>
          <xdr:cNvPr id="12" name="TextBox 11">
            <a:extLst>
              <a:ext uri="{FF2B5EF4-FFF2-40B4-BE49-F238E27FC236}">
                <a16:creationId xmlns:a16="http://schemas.microsoft.com/office/drawing/2014/main" id="{0D2CF879-5E29-4A5C-808F-B9F4104F311B}"/>
              </a:ext>
            </a:extLst>
          </xdr:cNvPr>
          <xdr:cNvSpPr txBox="1"/>
        </xdr:nvSpPr>
        <xdr:spPr>
          <a:xfrm>
            <a:off x="22333064" y="3262537"/>
            <a:ext cx="2668935" cy="452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mj-lt"/>
              </a:rPr>
              <a:t>Total Billed</a:t>
            </a:r>
            <a:r>
              <a:rPr lang="en-US" sz="1800" b="1" baseline="0">
                <a:solidFill>
                  <a:schemeClr val="bg1"/>
                </a:solidFill>
                <a:latin typeface="+mj-lt"/>
              </a:rPr>
              <a:t> Amount</a:t>
            </a:r>
            <a:endParaRPr lang="en-US" sz="1800" b="1">
              <a:solidFill>
                <a:schemeClr val="bg1"/>
              </a:solidFill>
              <a:latin typeface="+mj-lt"/>
            </a:endParaRPr>
          </a:p>
        </xdr:txBody>
      </xdr:sp>
      <xdr:sp macro="" textlink="">
        <xdr:nvSpPr>
          <xdr:cNvPr id="16" name="TextBox 15">
            <a:extLst>
              <a:ext uri="{FF2B5EF4-FFF2-40B4-BE49-F238E27FC236}">
                <a16:creationId xmlns:a16="http://schemas.microsoft.com/office/drawing/2014/main" id="{AB41EF26-31A6-42F6-8A68-A800A8F53296}"/>
              </a:ext>
            </a:extLst>
          </xdr:cNvPr>
          <xdr:cNvSpPr txBox="1"/>
        </xdr:nvSpPr>
        <xdr:spPr>
          <a:xfrm>
            <a:off x="26097219" y="3262537"/>
            <a:ext cx="2562601" cy="452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mj-lt"/>
              </a:rPr>
              <a:t>Total Paid</a:t>
            </a:r>
            <a:r>
              <a:rPr lang="en-US" sz="1800" b="1" baseline="0">
                <a:solidFill>
                  <a:schemeClr val="bg1"/>
                </a:solidFill>
                <a:latin typeface="+mj-lt"/>
              </a:rPr>
              <a:t> Amount</a:t>
            </a:r>
            <a:endParaRPr lang="en-US" sz="1800" b="1">
              <a:solidFill>
                <a:schemeClr val="bg1"/>
              </a:solidFill>
              <a:latin typeface="+mj-lt"/>
            </a:endParaRPr>
          </a:p>
        </xdr:txBody>
      </xdr:sp>
      <xdr:sp macro="" textlink="">
        <xdr:nvSpPr>
          <xdr:cNvPr id="22" name="TextBox 21">
            <a:extLst>
              <a:ext uri="{FF2B5EF4-FFF2-40B4-BE49-F238E27FC236}">
                <a16:creationId xmlns:a16="http://schemas.microsoft.com/office/drawing/2014/main" id="{B727C3D3-A65C-4AFB-BC58-C5F44D86F188}"/>
              </a:ext>
            </a:extLst>
          </xdr:cNvPr>
          <xdr:cNvSpPr txBox="1"/>
        </xdr:nvSpPr>
        <xdr:spPr>
          <a:xfrm>
            <a:off x="29744408" y="3262539"/>
            <a:ext cx="2870964" cy="440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mj-lt"/>
              </a:rPr>
              <a:t>Total Unique Patients</a:t>
            </a:r>
          </a:p>
        </xdr:txBody>
      </xdr:sp>
      <xdr:sp macro="" textlink="">
        <xdr:nvSpPr>
          <xdr:cNvPr id="23" name="TextBox 22">
            <a:extLst>
              <a:ext uri="{FF2B5EF4-FFF2-40B4-BE49-F238E27FC236}">
                <a16:creationId xmlns:a16="http://schemas.microsoft.com/office/drawing/2014/main" id="{772C6C2B-9607-4D24-924F-6B602A9CC160}"/>
              </a:ext>
            </a:extLst>
          </xdr:cNvPr>
          <xdr:cNvSpPr txBox="1"/>
        </xdr:nvSpPr>
        <xdr:spPr>
          <a:xfrm>
            <a:off x="33795660" y="3262537"/>
            <a:ext cx="2562601" cy="1084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mj-lt"/>
              </a:rPr>
              <a:t>Average Length of Stay (Days)</a:t>
            </a:r>
          </a:p>
        </xdr:txBody>
      </xdr:sp>
      <xdr:sp macro="" textlink="">
        <xdr:nvSpPr>
          <xdr:cNvPr id="24" name="TextBox 23">
            <a:extLst>
              <a:ext uri="{FF2B5EF4-FFF2-40B4-BE49-F238E27FC236}">
                <a16:creationId xmlns:a16="http://schemas.microsoft.com/office/drawing/2014/main" id="{00CEB65B-8810-4D79-B594-E9A554200F99}"/>
              </a:ext>
            </a:extLst>
          </xdr:cNvPr>
          <xdr:cNvSpPr txBox="1"/>
        </xdr:nvSpPr>
        <xdr:spPr>
          <a:xfrm>
            <a:off x="37464116" y="3262537"/>
            <a:ext cx="2562601" cy="865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mj-lt"/>
              </a:rPr>
              <a:t>Average Insurance Coverage</a:t>
            </a:r>
          </a:p>
        </xdr:txBody>
      </xdr:sp>
      <xdr:sp macro="" textlink="">
        <xdr:nvSpPr>
          <xdr:cNvPr id="25" name="TextBox 24">
            <a:extLst>
              <a:ext uri="{FF2B5EF4-FFF2-40B4-BE49-F238E27FC236}">
                <a16:creationId xmlns:a16="http://schemas.microsoft.com/office/drawing/2014/main" id="{CF42EFB0-419C-474F-A605-7EB6ACE711F9}"/>
              </a:ext>
            </a:extLst>
          </xdr:cNvPr>
          <xdr:cNvSpPr txBox="1"/>
        </xdr:nvSpPr>
        <xdr:spPr>
          <a:xfrm>
            <a:off x="18316370" y="4108351"/>
            <a:ext cx="914455" cy="540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chemeClr val="bg1"/>
                </a:solidFill>
                <a:latin typeface="+mj-lt"/>
              </a:rPr>
              <a:t>1000</a:t>
            </a:r>
          </a:p>
        </xdr:txBody>
      </xdr:sp>
      <xdr:pic>
        <xdr:nvPicPr>
          <xdr:cNvPr id="35" name="Picture 34">
            <a:extLst>
              <a:ext uri="{FF2B5EF4-FFF2-40B4-BE49-F238E27FC236}">
                <a16:creationId xmlns:a16="http://schemas.microsoft.com/office/drawing/2014/main" id="{CC35BC79-B067-3C12-8BD1-59A95136A15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4385682" y="3896446"/>
            <a:ext cx="719366" cy="773528"/>
          </a:xfrm>
          <a:prstGeom prst="rect">
            <a:avLst/>
          </a:prstGeom>
        </xdr:spPr>
      </xdr:pic>
      <xdr:pic>
        <xdr:nvPicPr>
          <xdr:cNvPr id="51" name="Picture 50">
            <a:extLst>
              <a:ext uri="{FF2B5EF4-FFF2-40B4-BE49-F238E27FC236}">
                <a16:creationId xmlns:a16="http://schemas.microsoft.com/office/drawing/2014/main" id="{3B27C112-05F2-1FBB-7AF0-D70C107A9B2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8047445" y="3888065"/>
            <a:ext cx="735501" cy="773528"/>
          </a:xfrm>
          <a:prstGeom prst="rect">
            <a:avLst/>
          </a:prstGeom>
        </xdr:spPr>
      </xdr:pic>
      <xdr:pic>
        <xdr:nvPicPr>
          <xdr:cNvPr id="53" name="Picture 52">
            <a:extLst>
              <a:ext uri="{FF2B5EF4-FFF2-40B4-BE49-F238E27FC236}">
                <a16:creationId xmlns:a16="http://schemas.microsoft.com/office/drawing/2014/main" id="{7155F3E0-8CD0-21A2-5D62-00C8189291F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9439959" y="3954697"/>
            <a:ext cx="736385" cy="771182"/>
          </a:xfrm>
          <a:prstGeom prst="rect">
            <a:avLst/>
          </a:prstGeom>
        </xdr:spPr>
      </xdr:pic>
      <xdr:pic>
        <xdr:nvPicPr>
          <xdr:cNvPr id="55" name="Picture 54">
            <a:extLst>
              <a:ext uri="{FF2B5EF4-FFF2-40B4-BE49-F238E27FC236}">
                <a16:creationId xmlns:a16="http://schemas.microsoft.com/office/drawing/2014/main" id="{4F45269C-E925-449A-7F81-F471A90AE92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0286171" y="3855397"/>
            <a:ext cx="919918" cy="967710"/>
          </a:xfrm>
          <a:prstGeom prst="rect">
            <a:avLst/>
          </a:prstGeom>
        </xdr:spPr>
      </xdr:pic>
      <xdr:sp macro="" textlink="">
        <xdr:nvSpPr>
          <xdr:cNvPr id="56" name="TextBox 55">
            <a:extLst>
              <a:ext uri="{FF2B5EF4-FFF2-40B4-BE49-F238E27FC236}">
                <a16:creationId xmlns:a16="http://schemas.microsoft.com/office/drawing/2014/main" id="{3F6E37D4-0D03-4C2C-910F-0F5EADDE1EF9}"/>
              </a:ext>
            </a:extLst>
          </xdr:cNvPr>
          <xdr:cNvSpPr txBox="1"/>
        </xdr:nvSpPr>
        <xdr:spPr>
          <a:xfrm>
            <a:off x="22224073" y="4091105"/>
            <a:ext cx="1212185" cy="540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chemeClr val="bg1"/>
                </a:solidFill>
                <a:latin typeface="+mj-lt"/>
              </a:rPr>
              <a:t>$8.05M</a:t>
            </a:r>
          </a:p>
        </xdr:txBody>
      </xdr:sp>
      <xdr:sp macro="" textlink="">
        <xdr:nvSpPr>
          <xdr:cNvPr id="57" name="TextBox 56">
            <a:extLst>
              <a:ext uri="{FF2B5EF4-FFF2-40B4-BE49-F238E27FC236}">
                <a16:creationId xmlns:a16="http://schemas.microsoft.com/office/drawing/2014/main" id="{66E17B48-3876-47D6-AF81-0741AF084A24}"/>
              </a:ext>
            </a:extLst>
          </xdr:cNvPr>
          <xdr:cNvSpPr txBox="1"/>
        </xdr:nvSpPr>
        <xdr:spPr>
          <a:xfrm>
            <a:off x="26081267" y="4076733"/>
            <a:ext cx="1129780" cy="540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chemeClr val="bg1"/>
                </a:solidFill>
                <a:latin typeface="+mj-lt"/>
              </a:rPr>
              <a:t>$4.57M</a:t>
            </a:r>
          </a:p>
        </xdr:txBody>
      </xdr:sp>
      <xdr:sp macro="" textlink="">
        <xdr:nvSpPr>
          <xdr:cNvPr id="58" name="TextBox 57">
            <a:extLst>
              <a:ext uri="{FF2B5EF4-FFF2-40B4-BE49-F238E27FC236}">
                <a16:creationId xmlns:a16="http://schemas.microsoft.com/office/drawing/2014/main" id="{73A76CBD-ED20-4C81-A68E-FEE7060423A9}"/>
              </a:ext>
            </a:extLst>
          </xdr:cNvPr>
          <xdr:cNvSpPr txBox="1"/>
        </xdr:nvSpPr>
        <xdr:spPr>
          <a:xfrm>
            <a:off x="29826815" y="4045113"/>
            <a:ext cx="1132437" cy="540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chemeClr val="bg1"/>
                </a:solidFill>
                <a:latin typeface="+mj-lt"/>
              </a:rPr>
              <a:t>684</a:t>
            </a:r>
          </a:p>
        </xdr:txBody>
      </xdr:sp>
      <xdr:sp macro="" textlink="">
        <xdr:nvSpPr>
          <xdr:cNvPr id="59" name="TextBox 58">
            <a:extLst>
              <a:ext uri="{FF2B5EF4-FFF2-40B4-BE49-F238E27FC236}">
                <a16:creationId xmlns:a16="http://schemas.microsoft.com/office/drawing/2014/main" id="{125A5D04-78DD-420F-AB23-41846F1D4B44}"/>
              </a:ext>
            </a:extLst>
          </xdr:cNvPr>
          <xdr:cNvSpPr txBox="1"/>
        </xdr:nvSpPr>
        <xdr:spPr>
          <a:xfrm>
            <a:off x="33532486" y="4114101"/>
            <a:ext cx="1132437" cy="540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chemeClr val="bg1"/>
                </a:solidFill>
                <a:latin typeface="+mj-lt"/>
              </a:rPr>
              <a:t>4.81</a:t>
            </a:r>
          </a:p>
        </xdr:txBody>
      </xdr:sp>
      <xdr:sp macro="" textlink="">
        <xdr:nvSpPr>
          <xdr:cNvPr id="60" name="TextBox 59">
            <a:extLst>
              <a:ext uri="{FF2B5EF4-FFF2-40B4-BE49-F238E27FC236}">
                <a16:creationId xmlns:a16="http://schemas.microsoft.com/office/drawing/2014/main" id="{2B381F01-F780-4994-8C75-B89E31EA637F}"/>
              </a:ext>
            </a:extLst>
          </xdr:cNvPr>
          <xdr:cNvSpPr txBox="1"/>
        </xdr:nvSpPr>
        <xdr:spPr>
          <a:xfrm>
            <a:off x="37307273" y="4139972"/>
            <a:ext cx="1353077" cy="540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chemeClr val="bg1"/>
                </a:solidFill>
                <a:latin typeface="+mj-lt"/>
              </a:rPr>
              <a:t>74.86%</a:t>
            </a:r>
          </a:p>
        </xdr:txBody>
      </xdr:sp>
      <xdr:pic>
        <xdr:nvPicPr>
          <xdr:cNvPr id="61" name="Picture 60">
            <a:extLst>
              <a:ext uri="{FF2B5EF4-FFF2-40B4-BE49-F238E27FC236}">
                <a16:creationId xmlns:a16="http://schemas.microsoft.com/office/drawing/2014/main" id="{12855D04-225F-4415-9DA5-D86325D3A4B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1692943" y="3878393"/>
            <a:ext cx="919918" cy="958185"/>
          </a:xfrm>
          <a:prstGeom prst="rect">
            <a:avLst/>
          </a:prstGeom>
        </xdr:spPr>
      </xdr:pic>
      <xdr:pic>
        <xdr:nvPicPr>
          <xdr:cNvPr id="27" name="Picture 26">
            <a:extLst>
              <a:ext uri="{FF2B5EF4-FFF2-40B4-BE49-F238E27FC236}">
                <a16:creationId xmlns:a16="http://schemas.microsoft.com/office/drawing/2014/main" id="{B4308B2F-677C-F1E0-AFA8-EB65EB57C4C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5677737" y="3956004"/>
            <a:ext cx="787617" cy="851667"/>
          </a:xfrm>
          <a:prstGeom prst="rect">
            <a:avLst/>
          </a:prstGeom>
        </xdr:spPr>
      </xdr:pic>
    </xdr:grpSp>
    <xdr:clientData/>
  </xdr:twoCellAnchor>
</xdr:wsDr>
</file>

<file path=xl/drawings/drawing2.xml><?xml version="1.0" encoding="utf-8"?>
<c:userShapes xmlns:c="http://schemas.openxmlformats.org/drawingml/2006/chart">
  <cdr:relSizeAnchor xmlns:cdr="http://schemas.openxmlformats.org/drawingml/2006/chartDrawing">
    <cdr:from>
      <cdr:x>0.00487</cdr:x>
      <cdr:y>0.01154</cdr:y>
    </cdr:from>
    <cdr:to>
      <cdr:x>0.37095</cdr:x>
      <cdr:y>0.09981</cdr:y>
    </cdr:to>
    <cdr:sp macro="" textlink="">
      <cdr:nvSpPr>
        <cdr:cNvPr id="2" name="TextBox 39">
          <a:extLst xmlns:a="http://schemas.openxmlformats.org/drawingml/2006/main">
            <a:ext uri="{FF2B5EF4-FFF2-40B4-BE49-F238E27FC236}">
              <a16:creationId xmlns:a16="http://schemas.microsoft.com/office/drawing/2014/main" id="{F7D683DE-1739-4782-ADEB-B91D498E3336}"/>
            </a:ext>
          </a:extLst>
        </cdr:cNvPr>
        <cdr:cNvSpPr txBox="1"/>
      </cdr:nvSpPr>
      <cdr:spPr>
        <a:xfrm xmlns:a="http://schemas.openxmlformats.org/drawingml/2006/main">
          <a:off x="44711" y="45100"/>
          <a:ext cx="3357944" cy="3451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600" b="1" baseline="0">
              <a:solidFill>
                <a:schemeClr val="tx1"/>
              </a:solidFill>
            </a:rPr>
            <a:t>Admissions and Billings over Time</a:t>
          </a:r>
          <a:endParaRPr lang="en-US" sz="1600" b="1">
            <a:solidFill>
              <a:schemeClr val="tx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20.899029976848" createdVersion="8" refreshedVersion="8" minRefreshableVersion="3" recordCount="1000" xr:uid="{3133BAB5-3405-4098-A058-9B1AD4C18505}">
  <cacheSource type="worksheet">
    <worksheetSource name="Table1"/>
  </cacheSource>
  <cacheFields count="18">
    <cacheField name="Patient ID" numFmtId="0">
      <sharedItems count="1000">
        <s v="PAT-3001"/>
        <s v="PAT-3002"/>
        <s v="PAT-3003"/>
        <s v="PAT-3004"/>
        <s v="PAT-3005"/>
        <s v="PAT-3006"/>
        <s v="PAT-3007"/>
        <s v="PAT-3008"/>
        <s v="PAT-3009"/>
        <s v="PAT-3010"/>
        <s v="PAT-3011"/>
        <s v="PAT-3012"/>
        <s v="PAT-3013"/>
        <s v="PAT-3014"/>
        <s v="PAT-3015"/>
        <s v="PAT-3016"/>
        <s v="PAT-3017"/>
        <s v="PAT-3018"/>
        <s v="PAT-3019"/>
        <s v="PAT-3020"/>
        <s v="PAT-3021"/>
        <s v="PAT-3022"/>
        <s v="PAT-3023"/>
        <s v="PAT-3024"/>
        <s v="PAT-3025"/>
        <s v="PAT-3026"/>
        <s v="PAT-3027"/>
        <s v="PAT-3028"/>
        <s v="PAT-3029"/>
        <s v="PAT-3030"/>
        <s v="PAT-3031"/>
        <s v="PAT-3032"/>
        <s v="PAT-3033"/>
        <s v="PAT-3034"/>
        <s v="PAT-3035"/>
        <s v="PAT-3036"/>
        <s v="PAT-3037"/>
        <s v="PAT-3038"/>
        <s v="PAT-3039"/>
        <s v="PAT-3040"/>
        <s v="PAT-3041"/>
        <s v="PAT-3042"/>
        <s v="PAT-3043"/>
        <s v="PAT-3044"/>
        <s v="PAT-3045"/>
        <s v="PAT-3046"/>
        <s v="PAT-3047"/>
        <s v="PAT-3048"/>
        <s v="PAT-3049"/>
        <s v="PAT-3050"/>
        <s v="PAT-3051"/>
        <s v="PAT-3052"/>
        <s v="PAT-3053"/>
        <s v="PAT-3054"/>
        <s v="PAT-3055"/>
        <s v="PAT-3056"/>
        <s v="PAT-3057"/>
        <s v="PAT-3058"/>
        <s v="PAT-3059"/>
        <s v="PAT-3060"/>
        <s v="PAT-3061"/>
        <s v="PAT-3062"/>
        <s v="PAT-3063"/>
        <s v="PAT-3064"/>
        <s v="PAT-3065"/>
        <s v="PAT-3066"/>
        <s v="PAT-3067"/>
        <s v="PAT-3068"/>
        <s v="PAT-3069"/>
        <s v="PAT-3070"/>
        <s v="PAT-3071"/>
        <s v="PAT-3072"/>
        <s v="PAT-3073"/>
        <s v="PAT-3074"/>
        <s v="PAT-3075"/>
        <s v="PAT-3076"/>
        <s v="PAT-3077"/>
        <s v="PAT-3078"/>
        <s v="PAT-3079"/>
        <s v="PAT-3080"/>
        <s v="PAT-3081"/>
        <s v="PAT-3082"/>
        <s v="PAT-3083"/>
        <s v="PAT-3084"/>
        <s v="PAT-3085"/>
        <s v="PAT-3086"/>
        <s v="PAT-3087"/>
        <s v="PAT-3088"/>
        <s v="PAT-3089"/>
        <s v="PAT-3090"/>
        <s v="PAT-3091"/>
        <s v="PAT-3092"/>
        <s v="PAT-3093"/>
        <s v="PAT-3094"/>
        <s v="PAT-3095"/>
        <s v="PAT-3096"/>
        <s v="PAT-3097"/>
        <s v="PAT-3098"/>
        <s v="PAT-3099"/>
        <s v="PAT-3100"/>
        <s v="PAT-3101"/>
        <s v="PAT-3102"/>
        <s v="PAT-3103"/>
        <s v="PAT-3104"/>
        <s v="PAT-3105"/>
        <s v="PAT-3106"/>
        <s v="PAT-3107"/>
        <s v="PAT-3108"/>
        <s v="PAT-3109"/>
        <s v="PAT-3110"/>
        <s v="PAT-3111"/>
        <s v="PAT-3112"/>
        <s v="PAT-3113"/>
        <s v="PAT-3114"/>
        <s v="PAT-3115"/>
        <s v="PAT-3116"/>
        <s v="PAT-3117"/>
        <s v="PAT-3118"/>
        <s v="PAT-3119"/>
        <s v="PAT-3120"/>
        <s v="PAT-3121"/>
        <s v="PAT-3122"/>
        <s v="PAT-3123"/>
        <s v="PAT-3124"/>
        <s v="PAT-3125"/>
        <s v="PAT-3126"/>
        <s v="PAT-3127"/>
        <s v="PAT-3128"/>
        <s v="PAT-3129"/>
        <s v="PAT-3130"/>
        <s v="PAT-3131"/>
        <s v="PAT-3132"/>
        <s v="PAT-3133"/>
        <s v="PAT-3134"/>
        <s v="PAT-3135"/>
        <s v="PAT-3136"/>
        <s v="PAT-3137"/>
        <s v="PAT-3138"/>
        <s v="PAT-3139"/>
        <s v="PAT-3140"/>
        <s v="PAT-3141"/>
        <s v="PAT-3142"/>
        <s v="PAT-3143"/>
        <s v="PAT-3144"/>
        <s v="PAT-3145"/>
        <s v="PAT-3146"/>
        <s v="PAT-3147"/>
        <s v="PAT-3148"/>
        <s v="PAT-3149"/>
        <s v="PAT-3150"/>
        <s v="PAT-3151"/>
        <s v="PAT-3152"/>
        <s v="PAT-3153"/>
        <s v="PAT-3154"/>
        <s v="PAT-3155"/>
        <s v="PAT-3156"/>
        <s v="PAT-3157"/>
        <s v="PAT-3158"/>
        <s v="PAT-3159"/>
        <s v="PAT-3160"/>
        <s v="PAT-3161"/>
        <s v="PAT-3162"/>
        <s v="PAT-3163"/>
        <s v="PAT-3164"/>
        <s v="PAT-3165"/>
        <s v="PAT-3166"/>
        <s v="PAT-3167"/>
        <s v="PAT-3168"/>
        <s v="PAT-3169"/>
        <s v="PAT-3170"/>
        <s v="PAT-3171"/>
        <s v="PAT-3172"/>
        <s v="PAT-3173"/>
        <s v="PAT-3174"/>
        <s v="PAT-3175"/>
        <s v="PAT-3176"/>
        <s v="PAT-3177"/>
        <s v="PAT-3178"/>
        <s v="PAT-3179"/>
        <s v="PAT-3180"/>
        <s v="PAT-3181"/>
        <s v="PAT-3182"/>
        <s v="PAT-3183"/>
        <s v="PAT-3184"/>
        <s v="PAT-3185"/>
        <s v="PAT-3186"/>
        <s v="PAT-3187"/>
        <s v="PAT-3188"/>
        <s v="PAT-3189"/>
        <s v="PAT-3190"/>
        <s v="PAT-3191"/>
        <s v="PAT-3192"/>
        <s v="PAT-3193"/>
        <s v="PAT-3194"/>
        <s v="PAT-3195"/>
        <s v="PAT-3196"/>
        <s v="PAT-3197"/>
        <s v="PAT-3198"/>
        <s v="PAT-3199"/>
        <s v="PAT-3200"/>
        <s v="PAT-3201"/>
        <s v="PAT-3202"/>
        <s v="PAT-3203"/>
        <s v="PAT-3204"/>
        <s v="PAT-3205"/>
        <s v="PAT-3206"/>
        <s v="PAT-3207"/>
        <s v="PAT-3208"/>
        <s v="PAT-3209"/>
        <s v="PAT-3210"/>
        <s v="PAT-3211"/>
        <s v="PAT-3212"/>
        <s v="PAT-3213"/>
        <s v="PAT-3214"/>
        <s v="PAT-3215"/>
        <s v="PAT-3216"/>
        <s v="PAT-3217"/>
        <s v="PAT-3218"/>
        <s v="PAT-3219"/>
        <s v="PAT-3220"/>
        <s v="PAT-3221"/>
        <s v="PAT-3222"/>
        <s v="PAT-3223"/>
        <s v="PAT-3224"/>
        <s v="PAT-3225"/>
        <s v="PAT-3226"/>
        <s v="PAT-3227"/>
        <s v="PAT-3228"/>
        <s v="PAT-3229"/>
        <s v="PAT-3230"/>
        <s v="PAT-3231"/>
        <s v="PAT-3232"/>
        <s v="PAT-3233"/>
        <s v="PAT-3234"/>
        <s v="PAT-3235"/>
        <s v="PAT-3236"/>
        <s v="PAT-3237"/>
        <s v="PAT-3238"/>
        <s v="PAT-3239"/>
        <s v="PAT-3240"/>
        <s v="PAT-3241"/>
        <s v="PAT-3242"/>
        <s v="PAT-3243"/>
        <s v="PAT-3244"/>
        <s v="PAT-3245"/>
        <s v="PAT-3246"/>
        <s v="PAT-3247"/>
        <s v="PAT-3248"/>
        <s v="PAT-3249"/>
        <s v="PAT-3250"/>
        <s v="PAT-3251"/>
        <s v="PAT-3252"/>
        <s v="PAT-3253"/>
        <s v="PAT-3254"/>
        <s v="PAT-3255"/>
        <s v="PAT-3256"/>
        <s v="PAT-3257"/>
        <s v="PAT-3258"/>
        <s v="PAT-3259"/>
        <s v="PAT-3260"/>
        <s v="PAT-3261"/>
        <s v="PAT-3262"/>
        <s v="PAT-3263"/>
        <s v="PAT-3264"/>
        <s v="PAT-3265"/>
        <s v="PAT-3266"/>
        <s v="PAT-3267"/>
        <s v="PAT-3268"/>
        <s v="PAT-3269"/>
        <s v="PAT-3270"/>
        <s v="PAT-3271"/>
        <s v="PAT-3272"/>
        <s v="PAT-3273"/>
        <s v="PAT-3274"/>
        <s v="PAT-3275"/>
        <s v="PAT-3276"/>
        <s v="PAT-3277"/>
        <s v="PAT-3278"/>
        <s v="PAT-3279"/>
        <s v="PAT-3280"/>
        <s v="PAT-3281"/>
        <s v="PAT-3282"/>
        <s v="PAT-3283"/>
        <s v="PAT-3284"/>
        <s v="PAT-3285"/>
        <s v="PAT-3286"/>
        <s v="PAT-3287"/>
        <s v="PAT-3288"/>
        <s v="PAT-3289"/>
        <s v="PAT-3290"/>
        <s v="PAT-3291"/>
        <s v="PAT-3292"/>
        <s v="PAT-3293"/>
        <s v="PAT-3294"/>
        <s v="PAT-3295"/>
        <s v="PAT-3296"/>
        <s v="PAT-3297"/>
        <s v="PAT-3298"/>
        <s v="PAT-3299"/>
        <s v="PAT-3300"/>
        <s v="PAT-3301"/>
        <s v="PAT-3302"/>
        <s v="PAT-3303"/>
        <s v="PAT-3304"/>
        <s v="PAT-3305"/>
        <s v="PAT-3306"/>
        <s v="PAT-3307"/>
        <s v="PAT-3308"/>
        <s v="PAT-3309"/>
        <s v="PAT-3310"/>
        <s v="PAT-3311"/>
        <s v="PAT-3312"/>
        <s v="PAT-3313"/>
        <s v="PAT-3314"/>
        <s v="PAT-3315"/>
        <s v="PAT-3316"/>
        <s v="PAT-3317"/>
        <s v="PAT-3318"/>
        <s v="PAT-3319"/>
        <s v="PAT-3320"/>
        <s v="PAT-3321"/>
        <s v="PAT-3322"/>
        <s v="PAT-3323"/>
        <s v="PAT-3324"/>
        <s v="PAT-3325"/>
        <s v="PAT-3326"/>
        <s v="PAT-3327"/>
        <s v="PAT-3328"/>
        <s v="PAT-3329"/>
        <s v="PAT-3330"/>
        <s v="PAT-3331"/>
        <s v="PAT-3332"/>
        <s v="PAT-3333"/>
        <s v="PAT-3334"/>
        <s v="PAT-3335"/>
        <s v="PAT-3336"/>
        <s v="PAT-3337"/>
        <s v="PAT-3338"/>
        <s v="PAT-3339"/>
        <s v="PAT-3340"/>
        <s v="PAT-3341"/>
        <s v="PAT-3342"/>
        <s v="PAT-3343"/>
        <s v="PAT-3344"/>
        <s v="PAT-3345"/>
        <s v="PAT-3346"/>
        <s v="PAT-3347"/>
        <s v="PAT-3348"/>
        <s v="PAT-3349"/>
        <s v="PAT-3350"/>
        <s v="PAT-3351"/>
        <s v="PAT-3352"/>
        <s v="PAT-3353"/>
        <s v="PAT-3354"/>
        <s v="PAT-3355"/>
        <s v="PAT-3356"/>
        <s v="PAT-3357"/>
        <s v="PAT-3358"/>
        <s v="PAT-3359"/>
        <s v="PAT-3360"/>
        <s v="PAT-3361"/>
        <s v="PAT-3362"/>
        <s v="PAT-3363"/>
        <s v="PAT-3364"/>
        <s v="PAT-3365"/>
        <s v="PAT-3366"/>
        <s v="PAT-3367"/>
        <s v="PAT-3368"/>
        <s v="PAT-3369"/>
        <s v="PAT-3370"/>
        <s v="PAT-3371"/>
        <s v="PAT-3372"/>
        <s v="PAT-3373"/>
        <s v="PAT-3374"/>
        <s v="PAT-3375"/>
        <s v="PAT-3376"/>
        <s v="PAT-3377"/>
        <s v="PAT-3378"/>
        <s v="PAT-3379"/>
        <s v="PAT-3380"/>
        <s v="PAT-3381"/>
        <s v="PAT-3382"/>
        <s v="PAT-3383"/>
        <s v="PAT-3384"/>
        <s v="PAT-3385"/>
        <s v="PAT-3386"/>
        <s v="PAT-3387"/>
        <s v="PAT-3388"/>
        <s v="PAT-3389"/>
        <s v="PAT-3390"/>
        <s v="PAT-3391"/>
        <s v="PAT-3392"/>
        <s v="PAT-3393"/>
        <s v="PAT-3394"/>
        <s v="PAT-3395"/>
        <s v="PAT-3396"/>
        <s v="PAT-3397"/>
        <s v="PAT-3398"/>
        <s v="PAT-3399"/>
        <s v="PAT-3400"/>
        <s v="PAT-3401"/>
        <s v="PAT-3402"/>
        <s v="PAT-3403"/>
        <s v="PAT-3404"/>
        <s v="PAT-3405"/>
        <s v="PAT-3406"/>
        <s v="PAT-3407"/>
        <s v="PAT-3408"/>
        <s v="PAT-3409"/>
        <s v="PAT-3410"/>
        <s v="PAT-3411"/>
        <s v="PAT-3412"/>
        <s v="PAT-3413"/>
        <s v="PAT-3414"/>
        <s v="PAT-3415"/>
        <s v="PAT-3416"/>
        <s v="PAT-3417"/>
        <s v="PAT-3418"/>
        <s v="PAT-3419"/>
        <s v="PAT-3420"/>
        <s v="PAT-3421"/>
        <s v="PAT-3422"/>
        <s v="PAT-3423"/>
        <s v="PAT-3424"/>
        <s v="PAT-3425"/>
        <s v="PAT-3426"/>
        <s v="PAT-3427"/>
        <s v="PAT-3428"/>
        <s v="PAT-3429"/>
        <s v="PAT-3430"/>
        <s v="PAT-3431"/>
        <s v="PAT-3432"/>
        <s v="PAT-3433"/>
        <s v="PAT-3434"/>
        <s v="PAT-3435"/>
        <s v="PAT-3436"/>
        <s v="PAT-3437"/>
        <s v="PAT-3438"/>
        <s v="PAT-3439"/>
        <s v="PAT-3440"/>
        <s v="PAT-3441"/>
        <s v="PAT-3442"/>
        <s v="PAT-3443"/>
        <s v="PAT-3444"/>
        <s v="PAT-3445"/>
        <s v="PAT-3446"/>
        <s v="PAT-3447"/>
        <s v="PAT-3448"/>
        <s v="PAT-3449"/>
        <s v="PAT-3450"/>
        <s v="PAT-3451"/>
        <s v="PAT-3452"/>
        <s v="PAT-3453"/>
        <s v="PAT-3454"/>
        <s v="PAT-3455"/>
        <s v="PAT-3456"/>
        <s v="PAT-3457"/>
        <s v="PAT-3458"/>
        <s v="PAT-3459"/>
        <s v="PAT-3460"/>
        <s v="PAT-3461"/>
        <s v="PAT-3462"/>
        <s v="PAT-3463"/>
        <s v="PAT-3464"/>
        <s v="PAT-3465"/>
        <s v="PAT-3466"/>
        <s v="PAT-3467"/>
        <s v="PAT-3468"/>
        <s v="PAT-3469"/>
        <s v="PAT-3470"/>
        <s v="PAT-3471"/>
        <s v="PAT-3472"/>
        <s v="PAT-3473"/>
        <s v="PAT-3474"/>
        <s v="PAT-3475"/>
        <s v="PAT-3476"/>
        <s v="PAT-3477"/>
        <s v="PAT-3478"/>
        <s v="PAT-3479"/>
        <s v="PAT-3480"/>
        <s v="PAT-3481"/>
        <s v="PAT-3482"/>
        <s v="PAT-3483"/>
        <s v="PAT-3484"/>
        <s v="PAT-3485"/>
        <s v="PAT-3486"/>
        <s v="PAT-3487"/>
        <s v="PAT-3488"/>
        <s v="PAT-3489"/>
        <s v="PAT-3490"/>
        <s v="PAT-3491"/>
        <s v="PAT-3492"/>
        <s v="PAT-3493"/>
        <s v="PAT-3494"/>
        <s v="PAT-3495"/>
        <s v="PAT-3496"/>
        <s v="PAT-3497"/>
        <s v="PAT-3498"/>
        <s v="PAT-3499"/>
        <s v="PAT-3500"/>
        <s v="PAT-3501"/>
        <s v="PAT-3502"/>
        <s v="PAT-3503"/>
        <s v="PAT-3504"/>
        <s v="PAT-3505"/>
        <s v="PAT-3506"/>
        <s v="PAT-3507"/>
        <s v="PAT-3508"/>
        <s v="PAT-3509"/>
        <s v="PAT-3510"/>
        <s v="PAT-3511"/>
        <s v="PAT-3512"/>
        <s v="PAT-3513"/>
        <s v="PAT-3514"/>
        <s v="PAT-3515"/>
        <s v="PAT-3516"/>
        <s v="PAT-3517"/>
        <s v="PAT-3518"/>
        <s v="PAT-3519"/>
        <s v="PAT-3520"/>
        <s v="PAT-3521"/>
        <s v="PAT-3522"/>
        <s v="PAT-3523"/>
        <s v="PAT-3524"/>
        <s v="PAT-3525"/>
        <s v="PAT-3526"/>
        <s v="PAT-3527"/>
        <s v="PAT-3528"/>
        <s v="PAT-3529"/>
        <s v="PAT-3530"/>
        <s v="PAT-3531"/>
        <s v="PAT-3532"/>
        <s v="PAT-3533"/>
        <s v="PAT-3534"/>
        <s v="PAT-3535"/>
        <s v="PAT-3536"/>
        <s v="PAT-3537"/>
        <s v="PAT-3538"/>
        <s v="PAT-3539"/>
        <s v="PAT-3540"/>
        <s v="PAT-3541"/>
        <s v="PAT-3542"/>
        <s v="PAT-3543"/>
        <s v="PAT-3544"/>
        <s v="PAT-3545"/>
        <s v="PAT-3546"/>
        <s v="PAT-3547"/>
        <s v="PAT-3548"/>
        <s v="PAT-3549"/>
        <s v="PAT-3550"/>
        <s v="PAT-3551"/>
        <s v="PAT-3552"/>
        <s v="PAT-3553"/>
        <s v="PAT-3554"/>
        <s v="PAT-3555"/>
        <s v="PAT-3556"/>
        <s v="PAT-3557"/>
        <s v="PAT-3558"/>
        <s v="PAT-3559"/>
        <s v="PAT-3560"/>
        <s v="PAT-3561"/>
        <s v="PAT-3562"/>
        <s v="PAT-3563"/>
        <s v="PAT-3564"/>
        <s v="PAT-3565"/>
        <s v="PAT-3566"/>
        <s v="PAT-3567"/>
        <s v="PAT-3568"/>
        <s v="PAT-3569"/>
        <s v="PAT-3570"/>
        <s v="PAT-3571"/>
        <s v="PAT-3572"/>
        <s v="PAT-3573"/>
        <s v="PAT-3574"/>
        <s v="PAT-3575"/>
        <s v="PAT-3576"/>
        <s v="PAT-3577"/>
        <s v="PAT-3578"/>
        <s v="PAT-3579"/>
        <s v="PAT-3580"/>
        <s v="PAT-3581"/>
        <s v="PAT-3582"/>
        <s v="PAT-3583"/>
        <s v="PAT-3584"/>
        <s v="PAT-3585"/>
        <s v="PAT-3586"/>
        <s v="PAT-3587"/>
        <s v="PAT-3588"/>
        <s v="PAT-3589"/>
        <s v="PAT-3590"/>
        <s v="PAT-3591"/>
        <s v="PAT-3592"/>
        <s v="PAT-3593"/>
        <s v="PAT-3594"/>
        <s v="PAT-3595"/>
        <s v="PAT-3596"/>
        <s v="PAT-3597"/>
        <s v="PAT-3598"/>
        <s v="PAT-3599"/>
        <s v="PAT-3600"/>
        <s v="PAT-3601"/>
        <s v="PAT-3602"/>
        <s v="PAT-3603"/>
        <s v="PAT-3604"/>
        <s v="PAT-3605"/>
        <s v="PAT-3606"/>
        <s v="PAT-3607"/>
        <s v="PAT-3608"/>
        <s v="PAT-3609"/>
        <s v="PAT-3610"/>
        <s v="PAT-3611"/>
        <s v="PAT-3612"/>
        <s v="PAT-3613"/>
        <s v="PAT-3614"/>
        <s v="PAT-3615"/>
        <s v="PAT-3616"/>
        <s v="PAT-3617"/>
        <s v="PAT-3618"/>
        <s v="PAT-3619"/>
        <s v="PAT-3620"/>
        <s v="PAT-3621"/>
        <s v="PAT-3622"/>
        <s v="PAT-3623"/>
        <s v="PAT-3624"/>
        <s v="PAT-3625"/>
        <s v="PAT-3626"/>
        <s v="PAT-3627"/>
        <s v="PAT-3628"/>
        <s v="PAT-3629"/>
        <s v="PAT-3630"/>
        <s v="PAT-3631"/>
        <s v="PAT-3632"/>
        <s v="PAT-3633"/>
        <s v="PAT-3634"/>
        <s v="PAT-3635"/>
        <s v="PAT-3636"/>
        <s v="PAT-3637"/>
        <s v="PAT-3638"/>
        <s v="PAT-3639"/>
        <s v="PAT-3640"/>
        <s v="PAT-3641"/>
        <s v="PAT-3642"/>
        <s v="PAT-3643"/>
        <s v="PAT-3644"/>
        <s v="PAT-3645"/>
        <s v="PAT-3646"/>
        <s v="PAT-3647"/>
        <s v="PAT-3648"/>
        <s v="PAT-3649"/>
        <s v="PAT-3650"/>
        <s v="PAT-3651"/>
        <s v="PAT-3652"/>
        <s v="PAT-3653"/>
        <s v="PAT-3654"/>
        <s v="PAT-3655"/>
        <s v="PAT-3656"/>
        <s v="PAT-3657"/>
        <s v="PAT-3658"/>
        <s v="PAT-3659"/>
        <s v="PAT-3660"/>
        <s v="PAT-3661"/>
        <s v="PAT-3662"/>
        <s v="PAT-3663"/>
        <s v="PAT-3664"/>
        <s v="PAT-3665"/>
        <s v="PAT-3666"/>
        <s v="PAT-3667"/>
        <s v="PAT-3668"/>
        <s v="PAT-3669"/>
        <s v="PAT-3670"/>
        <s v="PAT-3671"/>
        <s v="PAT-3672"/>
        <s v="PAT-3673"/>
        <s v="PAT-3674"/>
        <s v="PAT-3675"/>
        <s v="PAT-3676"/>
        <s v="PAT-3677"/>
        <s v="PAT-3678"/>
        <s v="PAT-3679"/>
        <s v="PAT-3680"/>
        <s v="PAT-3681"/>
        <s v="PAT-3682"/>
        <s v="PAT-3683"/>
        <s v="PAT-3684"/>
        <s v="PAT-3685"/>
        <s v="PAT-3686"/>
        <s v="PAT-3687"/>
        <s v="PAT-3688"/>
        <s v="PAT-3689"/>
        <s v="PAT-3690"/>
        <s v="PAT-3691"/>
        <s v="PAT-3692"/>
        <s v="PAT-3693"/>
        <s v="PAT-3694"/>
        <s v="PAT-3695"/>
        <s v="PAT-3696"/>
        <s v="PAT-3697"/>
        <s v="PAT-3698"/>
        <s v="PAT-3699"/>
        <s v="PAT-3700"/>
        <s v="PAT-3701"/>
        <s v="PAT-3702"/>
        <s v="PAT-3703"/>
        <s v="PAT-3704"/>
        <s v="PAT-3705"/>
        <s v="PAT-3706"/>
        <s v="PAT-3707"/>
        <s v="PAT-3708"/>
        <s v="PAT-3709"/>
        <s v="PAT-3710"/>
        <s v="PAT-3711"/>
        <s v="PAT-3712"/>
        <s v="PAT-3713"/>
        <s v="PAT-3714"/>
        <s v="PAT-3715"/>
        <s v="PAT-3716"/>
        <s v="PAT-3717"/>
        <s v="PAT-3718"/>
        <s v="PAT-3719"/>
        <s v="PAT-3720"/>
        <s v="PAT-3721"/>
        <s v="PAT-3722"/>
        <s v="PAT-3723"/>
        <s v="PAT-3724"/>
        <s v="PAT-3725"/>
        <s v="PAT-3726"/>
        <s v="PAT-3727"/>
        <s v="PAT-3728"/>
        <s v="PAT-3729"/>
        <s v="PAT-3730"/>
        <s v="PAT-3731"/>
        <s v="PAT-3732"/>
        <s v="PAT-3733"/>
        <s v="PAT-3734"/>
        <s v="PAT-3735"/>
        <s v="PAT-3736"/>
        <s v="PAT-3737"/>
        <s v="PAT-3738"/>
        <s v="PAT-3739"/>
        <s v="PAT-3740"/>
        <s v="PAT-3741"/>
        <s v="PAT-3742"/>
        <s v="PAT-3743"/>
        <s v="PAT-3744"/>
        <s v="PAT-3745"/>
        <s v="PAT-3746"/>
        <s v="PAT-3747"/>
        <s v="PAT-3748"/>
        <s v="PAT-3749"/>
        <s v="PAT-3750"/>
        <s v="PAT-3751"/>
        <s v="PAT-3752"/>
        <s v="PAT-3753"/>
        <s v="PAT-3754"/>
        <s v="PAT-3755"/>
        <s v="PAT-3756"/>
        <s v="PAT-3757"/>
        <s v="PAT-3758"/>
        <s v="PAT-3759"/>
        <s v="PAT-3760"/>
        <s v="PAT-3761"/>
        <s v="PAT-3762"/>
        <s v="PAT-3763"/>
        <s v="PAT-3764"/>
        <s v="PAT-3765"/>
        <s v="PAT-3766"/>
        <s v="PAT-3767"/>
        <s v="PAT-3768"/>
        <s v="PAT-3769"/>
        <s v="PAT-3770"/>
        <s v="PAT-3771"/>
        <s v="PAT-3772"/>
        <s v="PAT-3773"/>
        <s v="PAT-3774"/>
        <s v="PAT-3775"/>
        <s v="PAT-3776"/>
        <s v="PAT-3777"/>
        <s v="PAT-3778"/>
        <s v="PAT-3779"/>
        <s v="PAT-3780"/>
        <s v="PAT-3781"/>
        <s v="PAT-3782"/>
        <s v="PAT-3783"/>
        <s v="PAT-3784"/>
        <s v="PAT-3785"/>
        <s v="PAT-3786"/>
        <s v="PAT-3787"/>
        <s v="PAT-3788"/>
        <s v="PAT-3789"/>
        <s v="PAT-3790"/>
        <s v="PAT-3791"/>
        <s v="PAT-3792"/>
        <s v="PAT-3793"/>
        <s v="PAT-3794"/>
        <s v="PAT-3795"/>
        <s v="PAT-3796"/>
        <s v="PAT-3797"/>
        <s v="PAT-3798"/>
        <s v="PAT-3799"/>
        <s v="PAT-3800"/>
        <s v="PAT-3801"/>
        <s v="PAT-3802"/>
        <s v="PAT-3803"/>
        <s v="PAT-3804"/>
        <s v="PAT-3805"/>
        <s v="PAT-3806"/>
        <s v="PAT-3807"/>
        <s v="PAT-3808"/>
        <s v="PAT-3809"/>
        <s v="PAT-3810"/>
        <s v="PAT-3811"/>
        <s v="PAT-3812"/>
        <s v="PAT-3813"/>
        <s v="PAT-3814"/>
        <s v="PAT-3815"/>
        <s v="PAT-3816"/>
        <s v="PAT-3817"/>
        <s v="PAT-3818"/>
        <s v="PAT-3819"/>
        <s v="PAT-3820"/>
        <s v="PAT-3821"/>
        <s v="PAT-3822"/>
        <s v="PAT-3823"/>
        <s v="PAT-3824"/>
        <s v="PAT-3825"/>
        <s v="PAT-3826"/>
        <s v="PAT-3827"/>
        <s v="PAT-3828"/>
        <s v="PAT-3829"/>
        <s v="PAT-3830"/>
        <s v="PAT-3831"/>
        <s v="PAT-3832"/>
        <s v="PAT-3833"/>
        <s v="PAT-3834"/>
        <s v="PAT-3835"/>
        <s v="PAT-3836"/>
        <s v="PAT-3837"/>
        <s v="PAT-3838"/>
        <s v="PAT-3839"/>
        <s v="PAT-3840"/>
        <s v="PAT-3841"/>
        <s v="PAT-3842"/>
        <s v="PAT-3843"/>
        <s v="PAT-3844"/>
        <s v="PAT-3845"/>
        <s v="PAT-3846"/>
        <s v="PAT-3847"/>
        <s v="PAT-3848"/>
        <s v="PAT-3849"/>
        <s v="PAT-3850"/>
        <s v="PAT-3851"/>
        <s v="PAT-3852"/>
        <s v="PAT-3853"/>
        <s v="PAT-3854"/>
        <s v="PAT-3855"/>
        <s v="PAT-3856"/>
        <s v="PAT-3857"/>
        <s v="PAT-3858"/>
        <s v="PAT-3859"/>
        <s v="PAT-3860"/>
        <s v="PAT-3861"/>
        <s v="PAT-3862"/>
        <s v="PAT-3863"/>
        <s v="PAT-3864"/>
        <s v="PAT-3865"/>
        <s v="PAT-3866"/>
        <s v="PAT-3867"/>
        <s v="PAT-3868"/>
        <s v="PAT-3869"/>
        <s v="PAT-3870"/>
        <s v="PAT-3871"/>
        <s v="PAT-3872"/>
        <s v="PAT-3873"/>
        <s v="PAT-3874"/>
        <s v="PAT-3875"/>
        <s v="PAT-3876"/>
        <s v="PAT-3877"/>
        <s v="PAT-3878"/>
        <s v="PAT-3879"/>
        <s v="PAT-3880"/>
        <s v="PAT-3881"/>
        <s v="PAT-3882"/>
        <s v="PAT-3883"/>
        <s v="PAT-3884"/>
        <s v="PAT-3885"/>
        <s v="PAT-3886"/>
        <s v="PAT-3887"/>
        <s v="PAT-3888"/>
        <s v="PAT-3889"/>
        <s v="PAT-3890"/>
        <s v="PAT-3891"/>
        <s v="PAT-3892"/>
        <s v="PAT-3893"/>
        <s v="PAT-3894"/>
        <s v="PAT-3895"/>
        <s v="PAT-3896"/>
        <s v="PAT-3897"/>
        <s v="PAT-3898"/>
        <s v="PAT-3899"/>
        <s v="PAT-3900"/>
        <s v="PAT-3901"/>
        <s v="PAT-3902"/>
        <s v="PAT-3903"/>
        <s v="PAT-3904"/>
        <s v="PAT-3905"/>
        <s v="PAT-3906"/>
        <s v="PAT-3907"/>
        <s v="PAT-3908"/>
        <s v="PAT-3909"/>
        <s v="PAT-3910"/>
        <s v="PAT-3911"/>
        <s v="PAT-3912"/>
        <s v="PAT-3913"/>
        <s v="PAT-3914"/>
        <s v="PAT-3915"/>
        <s v="PAT-3916"/>
        <s v="PAT-3917"/>
        <s v="PAT-3918"/>
        <s v="PAT-3919"/>
        <s v="PAT-3920"/>
        <s v="PAT-3921"/>
        <s v="PAT-3922"/>
        <s v="PAT-3923"/>
        <s v="PAT-3924"/>
        <s v="PAT-3925"/>
        <s v="PAT-3926"/>
        <s v="PAT-3927"/>
        <s v="PAT-3928"/>
        <s v="PAT-3929"/>
        <s v="PAT-3930"/>
        <s v="PAT-3931"/>
        <s v="PAT-3932"/>
        <s v="PAT-3933"/>
        <s v="PAT-3934"/>
        <s v="PAT-3935"/>
        <s v="PAT-3936"/>
        <s v="PAT-3937"/>
        <s v="PAT-3938"/>
        <s v="PAT-3939"/>
        <s v="PAT-3940"/>
        <s v="PAT-3941"/>
        <s v="PAT-3942"/>
        <s v="PAT-3943"/>
        <s v="PAT-3944"/>
        <s v="PAT-3945"/>
        <s v="PAT-3946"/>
        <s v="PAT-3947"/>
        <s v="PAT-3948"/>
        <s v="PAT-3949"/>
        <s v="PAT-3950"/>
        <s v="PAT-3951"/>
        <s v="PAT-3952"/>
        <s v="PAT-3953"/>
        <s v="PAT-3954"/>
        <s v="PAT-3955"/>
        <s v="PAT-3956"/>
        <s v="PAT-3957"/>
        <s v="PAT-3958"/>
        <s v="PAT-3959"/>
        <s v="PAT-3960"/>
        <s v="PAT-3961"/>
        <s v="PAT-3962"/>
        <s v="PAT-3963"/>
        <s v="PAT-3964"/>
        <s v="PAT-3965"/>
        <s v="PAT-3966"/>
        <s v="PAT-3967"/>
        <s v="PAT-3968"/>
        <s v="PAT-3969"/>
        <s v="PAT-3970"/>
        <s v="PAT-3971"/>
        <s v="PAT-3972"/>
        <s v="PAT-3973"/>
        <s v="PAT-3974"/>
        <s v="PAT-3975"/>
        <s v="PAT-3976"/>
        <s v="PAT-3977"/>
        <s v="PAT-3978"/>
        <s v="PAT-3979"/>
        <s v="PAT-3980"/>
        <s v="PAT-3981"/>
        <s v="PAT-3982"/>
        <s v="PAT-3983"/>
        <s v="PAT-3984"/>
        <s v="PAT-3985"/>
        <s v="PAT-3986"/>
        <s v="PAT-3987"/>
        <s v="PAT-3988"/>
        <s v="PAT-3989"/>
        <s v="PAT-3990"/>
        <s v="PAT-3991"/>
        <s v="PAT-3992"/>
        <s v="PAT-3993"/>
        <s v="PAT-3994"/>
        <s v="PAT-3995"/>
        <s v="PAT-3996"/>
        <s v="PAT-3997"/>
        <s v="PAT-3998"/>
        <s v="PAT-3999"/>
        <s v="PAT-4000"/>
      </sharedItems>
    </cacheField>
    <cacheField name="Patient Name" numFmtId="0">
      <sharedItems/>
    </cacheField>
    <cacheField name="Age" numFmtId="0">
      <sharedItems containsSemiMixedTypes="0" containsString="0" containsNumber="1" containsInteger="1" minValue="1" maxValue="85" count="85">
        <n v="57"/>
        <n v="62"/>
        <n v="82"/>
        <n v="29"/>
        <n v="65"/>
        <n v="53"/>
        <n v="46"/>
        <n v="21"/>
        <n v="59"/>
        <n v="7"/>
        <n v="85"/>
        <n v="40"/>
        <n v="24"/>
        <n v="67"/>
        <n v="70"/>
        <n v="38"/>
        <n v="81"/>
        <n v="35"/>
        <n v="42"/>
        <n v="36"/>
        <n v="23"/>
        <n v="66"/>
        <n v="44"/>
        <n v="58"/>
        <n v="52"/>
        <n v="79"/>
        <n v="69"/>
        <n v="49"/>
        <n v="61"/>
        <n v="32"/>
        <n v="4"/>
        <n v="14"/>
        <n v="73"/>
        <n v="50"/>
        <n v="60"/>
        <n v="37"/>
        <n v="54"/>
        <n v="1"/>
        <n v="51"/>
        <n v="63"/>
        <n v="64"/>
        <n v="77"/>
        <n v="43"/>
        <n v="16"/>
        <n v="47"/>
        <n v="5"/>
        <n v="83"/>
        <n v="48"/>
        <n v="71"/>
        <n v="31"/>
        <n v="6"/>
        <n v="34"/>
        <n v="76"/>
        <n v="39"/>
        <n v="68"/>
        <n v="55"/>
        <n v="15"/>
        <n v="28"/>
        <n v="78"/>
        <n v="2"/>
        <n v="19"/>
        <n v="45"/>
        <n v="84"/>
        <n v="41"/>
        <n v="80"/>
        <n v="9"/>
        <n v="75"/>
        <n v="72"/>
        <n v="3"/>
        <n v="27"/>
        <n v="56"/>
        <n v="8"/>
        <n v="12"/>
        <n v="11"/>
        <n v="10"/>
        <n v="17"/>
        <n v="74"/>
        <n v="25"/>
        <n v="22"/>
        <n v="33"/>
        <n v="18"/>
        <n v="30"/>
        <n v="26"/>
        <n v="20"/>
        <n v="13"/>
      </sharedItems>
    </cacheField>
    <cacheField name="Gender" numFmtId="0">
      <sharedItems count="2">
        <s v="Male"/>
        <s v="Female"/>
      </sharedItems>
    </cacheField>
    <cacheField name="Admission Date" numFmtId="164">
      <sharedItems containsSemiMixedTypes="0" containsNonDate="0" containsDate="1" containsString="0" minDate="2024-01-01T00:00:00" maxDate="2025-12-29T00:00:00" count="533">
        <d v="2024-07-15T00:00:00"/>
        <d v="2025-03-13T00:00:00"/>
        <d v="2024-04-05T00:00:00"/>
        <d v="2024-10-23T00:00:00"/>
        <d v="2024-11-25T00:00:00"/>
        <d v="2024-07-21T00:00:00"/>
        <d v="2024-02-09T00:00:00"/>
        <d v="2024-02-24T00:00:00"/>
        <d v="2024-11-11T00:00:00"/>
        <d v="2025-08-05T00:00:00"/>
        <d v="2025-11-06T00:00:00"/>
        <d v="2025-03-03T00:00:00"/>
        <d v="2024-07-27T00:00:00"/>
        <d v="2024-08-20T00:00:00"/>
        <d v="2025-12-12T00:00:00"/>
        <d v="2025-02-07T00:00:00"/>
        <d v="2024-08-24T00:00:00"/>
        <d v="2024-05-27T00:00:00"/>
        <d v="2024-12-23T00:00:00"/>
        <d v="2025-05-27T00:00:00"/>
        <d v="2025-10-22T00:00:00"/>
        <d v="2025-02-11T00:00:00"/>
        <d v="2024-11-17T00:00:00"/>
        <d v="2024-03-19T00:00:00"/>
        <d v="2025-02-18T00:00:00"/>
        <d v="2024-06-20T00:00:00"/>
        <d v="2024-06-03T00:00:00"/>
        <d v="2025-01-25T00:00:00"/>
        <d v="2025-04-06T00:00:00"/>
        <d v="2024-10-01T00:00:00"/>
        <d v="2024-06-23T00:00:00"/>
        <d v="2024-03-20T00:00:00"/>
        <d v="2025-05-21T00:00:00"/>
        <d v="2025-10-15T00:00:00"/>
        <d v="2025-03-21T00:00:00"/>
        <d v="2025-08-09T00:00:00"/>
        <d v="2025-06-03T00:00:00"/>
        <d v="2024-12-10T00:00:00"/>
        <d v="2024-12-17T00:00:00"/>
        <d v="2025-02-13T00:00:00"/>
        <d v="2025-11-18T00:00:00"/>
        <d v="2025-09-05T00:00:00"/>
        <d v="2024-12-12T00:00:00"/>
        <d v="2024-07-17T00:00:00"/>
        <d v="2024-05-13T00:00:00"/>
        <d v="2025-01-06T00:00:00"/>
        <d v="2025-11-05T00:00:00"/>
        <d v="2024-09-10T00:00:00"/>
        <d v="2025-09-20T00:00:00"/>
        <d v="2024-07-06T00:00:00"/>
        <d v="2024-10-10T00:00:00"/>
        <d v="2025-04-04T00:00:00"/>
        <d v="2025-01-05T00:00:00"/>
        <d v="2024-11-12T00:00:00"/>
        <d v="2024-03-21T00:00:00"/>
        <d v="2025-05-05T00:00:00"/>
        <d v="2024-05-23T00:00:00"/>
        <d v="2025-04-29T00:00:00"/>
        <d v="2025-04-24T00:00:00"/>
        <d v="2024-04-23T00:00:00"/>
        <d v="2025-10-12T00:00:00"/>
        <d v="2025-01-24T00:00:00"/>
        <d v="2025-11-25T00:00:00"/>
        <d v="2025-03-15T00:00:00"/>
        <d v="2024-05-24T00:00:00"/>
        <d v="2025-04-05T00:00:00"/>
        <d v="2025-12-22T00:00:00"/>
        <d v="2025-01-19T00:00:00"/>
        <d v="2024-10-21T00:00:00"/>
        <d v="2025-11-08T00:00:00"/>
        <d v="2025-04-01T00:00:00"/>
        <d v="2025-09-03T00:00:00"/>
        <d v="2025-07-05T00:00:00"/>
        <d v="2024-07-10T00:00:00"/>
        <d v="2024-02-01T00:00:00"/>
        <d v="2024-04-26T00:00:00"/>
        <d v="2025-01-02T00:00:00"/>
        <d v="2025-11-28T00:00:00"/>
        <d v="2025-03-04T00:00:00"/>
        <d v="2025-01-22T00:00:00"/>
        <d v="2025-05-01T00:00:00"/>
        <d v="2024-08-26T00:00:00"/>
        <d v="2025-08-26T00:00:00"/>
        <d v="2025-04-28T00:00:00"/>
        <d v="2024-10-24T00:00:00"/>
        <d v="2024-10-29T00:00:00"/>
        <d v="2025-04-18T00:00:00"/>
        <d v="2024-12-20T00:00:00"/>
        <d v="2024-11-16T00:00:00"/>
        <d v="2024-02-04T00:00:00"/>
        <d v="2024-04-10T00:00:00"/>
        <d v="2024-02-25T00:00:00"/>
        <d v="2025-04-11T00:00:00"/>
        <d v="2025-01-12T00:00:00"/>
        <d v="2025-07-27T00:00:00"/>
        <d v="2025-02-15T00:00:00"/>
        <d v="2024-04-09T00:00:00"/>
        <d v="2025-05-07T00:00:00"/>
        <d v="2024-04-20T00:00:00"/>
        <d v="2024-10-15T00:00:00"/>
        <d v="2024-12-04T00:00:00"/>
        <d v="2024-01-05T00:00:00"/>
        <d v="2024-05-08T00:00:00"/>
        <d v="2025-09-12T00:00:00"/>
        <d v="2024-03-26T00:00:00"/>
        <d v="2024-06-17T00:00:00"/>
        <d v="2025-06-13T00:00:00"/>
        <d v="2024-07-05T00:00:00"/>
        <d v="2025-09-09T00:00:00"/>
        <d v="2024-08-25T00:00:00"/>
        <d v="2024-05-21T00:00:00"/>
        <d v="2024-11-05T00:00:00"/>
        <d v="2025-05-09T00:00:00"/>
        <d v="2024-04-17T00:00:00"/>
        <d v="2024-08-11T00:00:00"/>
        <d v="2024-04-08T00:00:00"/>
        <d v="2025-10-06T00:00:00"/>
        <d v="2024-03-02T00:00:00"/>
        <d v="2024-11-29T00:00:00"/>
        <d v="2025-05-16T00:00:00"/>
        <d v="2024-10-22T00:00:00"/>
        <d v="2025-08-30T00:00:00"/>
        <d v="2024-11-23T00:00:00"/>
        <d v="2024-06-15T00:00:00"/>
        <d v="2025-07-03T00:00:00"/>
        <d v="2025-04-02T00:00:00"/>
        <d v="2024-06-22T00:00:00"/>
        <d v="2024-07-08T00:00:00"/>
        <d v="2025-04-07T00:00:00"/>
        <d v="2024-01-04T00:00:00"/>
        <d v="2024-05-02T00:00:00"/>
        <d v="2025-07-23T00:00:00"/>
        <d v="2025-07-11T00:00:00"/>
        <d v="2024-03-31T00:00:00"/>
        <d v="2025-09-04T00:00:00"/>
        <d v="2024-12-21T00:00:00"/>
        <d v="2025-05-22T00:00:00"/>
        <d v="2024-04-18T00:00:00"/>
        <d v="2025-03-29T00:00:00"/>
        <d v="2024-09-07T00:00:00"/>
        <d v="2024-07-23T00:00:00"/>
        <d v="2024-06-26T00:00:00"/>
        <d v="2025-09-26T00:00:00"/>
        <d v="2024-09-05T00:00:00"/>
        <d v="2024-08-10T00:00:00"/>
        <d v="2024-07-02T00:00:00"/>
        <d v="2024-05-05T00:00:00"/>
        <d v="2024-02-02T00:00:00"/>
        <d v="2024-11-21T00:00:00"/>
        <d v="2025-09-13T00:00:00"/>
        <d v="2025-08-15T00:00:00"/>
        <d v="2025-07-31T00:00:00"/>
        <d v="2025-02-09T00:00:00"/>
        <d v="2025-06-12T00:00:00"/>
        <d v="2024-08-28T00:00:00"/>
        <d v="2025-06-23T00:00:00"/>
        <d v="2025-03-01T00:00:00"/>
        <d v="2025-10-04T00:00:00"/>
        <d v="2024-02-11T00:00:00"/>
        <d v="2025-10-29T00:00:00"/>
        <d v="2025-05-08T00:00:00"/>
        <d v="2024-01-09T00:00:00"/>
        <d v="2025-01-21T00:00:00"/>
        <d v="2025-06-17T00:00:00"/>
        <d v="2025-08-22T00:00:00"/>
        <d v="2024-12-25T00:00:00"/>
        <d v="2024-09-13T00:00:00"/>
        <d v="2024-03-01T00:00:00"/>
        <d v="2025-10-21T00:00:00"/>
        <d v="2025-03-22T00:00:00"/>
        <d v="2024-03-11T00:00:00"/>
        <d v="2024-12-13T00:00:00"/>
        <d v="2024-10-20T00:00:00"/>
        <d v="2024-09-15T00:00:00"/>
        <d v="2025-12-03T00:00:00"/>
        <d v="2024-11-30T00:00:00"/>
        <d v="2025-05-28T00:00:00"/>
        <d v="2025-02-17T00:00:00"/>
        <d v="2024-07-18T00:00:00"/>
        <d v="2024-03-04T00:00:00"/>
        <d v="2025-12-21T00:00:00"/>
        <d v="2025-01-03T00:00:00"/>
        <d v="2025-02-16T00:00:00"/>
        <d v="2025-06-01T00:00:00"/>
        <d v="2024-08-05T00:00:00"/>
        <d v="2025-06-26T00:00:00"/>
        <d v="2024-09-06T00:00:00"/>
        <d v="2024-08-04T00:00:00"/>
        <d v="2024-03-24T00:00:00"/>
        <d v="2025-01-01T00:00:00"/>
        <d v="2025-11-17T00:00:00"/>
        <d v="2025-11-29T00:00:00"/>
        <d v="2024-10-09T00:00:00"/>
        <d v="2024-09-18T00:00:00"/>
        <d v="2025-07-26T00:00:00"/>
        <d v="2024-06-12T00:00:00"/>
        <d v="2024-11-09T00:00:00"/>
        <d v="2025-02-14T00:00:00"/>
        <d v="2025-02-28T00:00:00"/>
        <d v="2025-03-31T00:00:00"/>
        <d v="2024-10-13T00:00:00"/>
        <d v="2024-06-24T00:00:00"/>
        <d v="2024-01-10T00:00:00"/>
        <d v="2024-08-18T00:00:00"/>
        <d v="2024-12-24T00:00:00"/>
        <d v="2025-04-10T00:00:00"/>
        <d v="2025-12-04T00:00:00"/>
        <d v="2024-11-28T00:00:00"/>
        <d v="2025-07-14T00:00:00"/>
        <d v="2025-09-16T00:00:00"/>
        <d v="2025-04-23T00:00:00"/>
        <d v="2025-11-02T00:00:00"/>
        <d v="2025-11-21T00:00:00"/>
        <d v="2025-04-17T00:00:00"/>
        <d v="2025-02-23T00:00:00"/>
        <d v="2024-04-24T00:00:00"/>
        <d v="2025-12-19T00:00:00"/>
        <d v="2024-10-26T00:00:00"/>
        <d v="2024-08-27T00:00:00"/>
        <d v="2025-06-07T00:00:00"/>
        <d v="2025-07-25T00:00:00"/>
        <d v="2025-09-19T00:00:00"/>
        <d v="2024-03-15T00:00:00"/>
        <d v="2025-12-08T00:00:00"/>
        <d v="2024-12-08T00:00:00"/>
        <d v="2025-10-03T00:00:00"/>
        <d v="2024-02-26T00:00:00"/>
        <d v="2025-07-15T00:00:00"/>
        <d v="2024-09-12T00:00:00"/>
        <d v="2024-10-14T00:00:00"/>
        <d v="2025-07-30T00:00:00"/>
        <d v="2024-12-22T00:00:00"/>
        <d v="2025-09-29T00:00:00"/>
        <d v="2024-02-21T00:00:00"/>
        <d v="2024-07-13T00:00:00"/>
        <d v="2024-05-31T00:00:00"/>
        <d v="2024-08-03T00:00:00"/>
        <d v="2025-05-17T00:00:00"/>
        <d v="2024-09-24T00:00:00"/>
        <d v="2025-04-16T00:00:00"/>
        <d v="2025-08-13T00:00:00"/>
        <d v="2024-04-13T00:00:00"/>
        <d v="2025-12-28T00:00:00"/>
        <d v="2024-02-20T00:00:00"/>
        <d v="2025-03-28T00:00:00"/>
        <d v="2025-09-28T00:00:00"/>
        <d v="2024-11-19T00:00:00"/>
        <d v="2025-08-19T00:00:00"/>
        <d v="2024-09-09T00:00:00"/>
        <d v="2024-08-15T00:00:00"/>
        <d v="2025-08-18T00:00:00"/>
        <d v="2024-06-04T00:00:00"/>
        <d v="2025-07-12T00:00:00"/>
        <d v="2025-03-27T00:00:00"/>
        <d v="2025-06-11T00:00:00"/>
        <d v="2024-05-14T00:00:00"/>
        <d v="2024-03-08T00:00:00"/>
        <d v="2025-06-25T00:00:00"/>
        <d v="2024-07-11T00:00:00"/>
        <d v="2025-11-12T00:00:00"/>
        <d v="2024-03-03T00:00:00"/>
        <d v="2025-03-30T00:00:00"/>
        <d v="2025-04-20T00:00:00"/>
        <d v="2025-12-05T00:00:00"/>
        <d v="2025-10-10T00:00:00"/>
        <d v="2024-05-22T00:00:00"/>
        <d v="2025-01-15T00:00:00"/>
        <d v="2024-03-06T00:00:00"/>
        <d v="2025-01-13T00:00:00"/>
        <d v="2025-09-06T00:00:00"/>
        <d v="2025-10-07T00:00:00"/>
        <d v="2025-07-10T00:00:00"/>
        <d v="2024-05-19T00:00:00"/>
        <d v="2024-08-21T00:00:00"/>
        <d v="2024-08-02T00:00:00"/>
        <d v="2025-03-20T00:00:00"/>
        <d v="2024-04-16T00:00:00"/>
        <d v="2024-06-11T00:00:00"/>
        <d v="2024-10-04T00:00:00"/>
        <d v="2025-12-02T00:00:00"/>
        <d v="2025-07-24T00:00:00"/>
        <d v="2025-05-10T00:00:00"/>
        <d v="2024-02-03T00:00:00"/>
        <d v="2024-10-27T00:00:00"/>
        <d v="2025-02-04T00:00:00"/>
        <d v="2025-11-10T00:00:00"/>
        <d v="2025-07-07T00:00:00"/>
        <d v="2025-12-11T00:00:00"/>
        <d v="2025-04-21T00:00:00"/>
        <d v="2024-10-30T00:00:00"/>
        <d v="2024-10-25T00:00:00"/>
        <d v="2024-04-03T00:00:00"/>
        <d v="2024-03-27T00:00:00"/>
        <d v="2024-08-31T00:00:00"/>
        <d v="2024-01-02T00:00:00"/>
        <d v="2025-09-30T00:00:00"/>
        <d v="2024-06-01T00:00:00"/>
        <d v="2024-01-14T00:00:00"/>
        <d v="2025-10-11T00:00:00"/>
        <d v="2024-01-01T00:00:00"/>
        <d v="2025-07-19T00:00:00"/>
        <d v="2024-10-17T00:00:00"/>
        <d v="2024-12-15T00:00:00"/>
        <d v="2024-05-29T00:00:00"/>
        <d v="2024-02-14T00:00:00"/>
        <d v="2024-01-03T00:00:00"/>
        <d v="2025-04-03T00:00:00"/>
        <d v="2024-08-23T00:00:00"/>
        <d v="2025-11-19T00:00:00"/>
        <d v="2025-04-08T00:00:00"/>
        <d v="2025-12-24T00:00:00"/>
        <d v="2025-11-09T00:00:00"/>
        <d v="2025-07-02T00:00:00"/>
        <d v="2024-01-06T00:00:00"/>
        <d v="2024-09-29T00:00:00"/>
        <d v="2024-05-16T00:00:00"/>
        <d v="2024-03-25T00:00:00"/>
        <d v="2024-01-16T00:00:00"/>
        <d v="2025-09-25T00:00:00"/>
        <d v="2025-05-19T00:00:00"/>
        <d v="2025-12-14T00:00:00"/>
        <d v="2024-02-19T00:00:00"/>
        <d v="2024-07-03T00:00:00"/>
        <d v="2024-08-06T00:00:00"/>
        <d v="2024-12-05T00:00:00"/>
        <d v="2024-12-27T00:00:00"/>
        <d v="2025-08-16T00:00:00"/>
        <d v="2024-05-12T00:00:00"/>
        <d v="2025-02-19T00:00:00"/>
        <d v="2025-04-14T00:00:00"/>
        <d v="2025-01-18T00:00:00"/>
        <d v="2025-07-08T00:00:00"/>
        <d v="2025-06-24T00:00:00"/>
        <d v="2024-07-09T00:00:00"/>
        <d v="2025-01-23T00:00:00"/>
        <d v="2025-12-23T00:00:00"/>
        <d v="2024-06-27T00:00:00"/>
        <d v="2024-02-28T00:00:00"/>
        <d v="2025-03-05T00:00:00"/>
        <d v="2024-11-03T00:00:00"/>
        <d v="2024-11-10T00:00:00"/>
        <d v="2025-12-13T00:00:00"/>
        <d v="2024-05-17T00:00:00"/>
        <d v="2025-02-06T00:00:00"/>
        <d v="2025-09-07T00:00:00"/>
        <d v="2024-05-25T00:00:00"/>
        <d v="2025-05-06T00:00:00"/>
        <d v="2024-07-04T00:00:00"/>
        <d v="2025-01-26T00:00:00"/>
        <d v="2024-07-31T00:00:00"/>
        <d v="2025-07-09T00:00:00"/>
        <d v="2025-05-14T00:00:00"/>
        <d v="2024-03-09T00:00:00"/>
        <d v="2025-11-22T00:00:00"/>
        <d v="2024-05-26T00:00:00"/>
        <d v="2025-01-29T00:00:00"/>
        <d v="2024-11-02T00:00:00"/>
        <d v="2025-11-14T00:00:00"/>
        <d v="2025-05-15T00:00:00"/>
        <d v="2025-10-02T00:00:00"/>
        <d v="2024-12-31T00:00:00"/>
        <d v="2025-01-04T00:00:00"/>
        <d v="2025-01-09T00:00:00"/>
        <d v="2025-09-10T00:00:00"/>
        <d v="2024-04-28T00:00:00"/>
        <d v="2025-07-18T00:00:00"/>
        <d v="2024-02-06T00:00:00"/>
        <d v="2025-10-20T00:00:00"/>
        <d v="2024-07-22T00:00:00"/>
        <d v="2024-10-31T00:00:00"/>
        <d v="2024-09-08T00:00:00"/>
        <d v="2025-09-08T00:00:00"/>
        <d v="2024-06-08T00:00:00"/>
        <d v="2024-06-29T00:00:00"/>
        <d v="2025-11-20T00:00:00"/>
        <d v="2024-09-30T00:00:00"/>
        <d v="2025-01-30T00:00:00"/>
        <d v="2024-01-13T00:00:00"/>
        <d v="2025-10-13T00:00:00"/>
        <d v="2025-05-25T00:00:00"/>
        <d v="2025-06-19T00:00:00"/>
        <d v="2024-08-16T00:00:00"/>
        <d v="2025-10-18T00:00:00"/>
        <d v="2024-02-05T00:00:00"/>
        <d v="2024-08-12T00:00:00"/>
        <d v="2024-09-14T00:00:00"/>
        <d v="2024-05-01T00:00:00"/>
        <d v="2024-01-24T00:00:00"/>
        <d v="2025-04-09T00:00:00"/>
        <d v="2025-03-08T00:00:00"/>
        <d v="2024-08-19T00:00:00"/>
        <d v="2024-04-25T00:00:00"/>
        <d v="2025-04-30T00:00:00"/>
        <d v="2025-07-01T00:00:00"/>
        <d v="2025-09-23T00:00:00"/>
        <d v="2024-06-30T00:00:00"/>
        <d v="2024-07-16T00:00:00"/>
        <d v="2025-08-04T00:00:00"/>
        <d v="2024-07-25T00:00:00"/>
        <d v="2025-03-23T00:00:00"/>
        <d v="2024-12-28T00:00:00"/>
        <d v="2024-04-12T00:00:00"/>
        <d v="2025-03-25T00:00:00"/>
        <d v="2024-03-17T00:00:00"/>
        <d v="2025-09-18T00:00:00"/>
        <d v="2024-02-08T00:00:00"/>
        <d v="2025-07-22T00:00:00"/>
        <d v="2024-06-10T00:00:00"/>
        <d v="2025-05-18T00:00:00"/>
        <d v="2025-05-02T00:00:00"/>
        <d v="2025-08-25T00:00:00"/>
        <d v="2024-01-26T00:00:00"/>
        <d v="2025-10-26T00:00:00"/>
        <d v="2024-07-28T00:00:00"/>
        <d v="2025-06-04T00:00:00"/>
        <d v="2024-11-04T00:00:00"/>
        <d v="2025-06-28T00:00:00"/>
        <d v="2024-09-01T00:00:00"/>
        <d v="2024-11-13T00:00:00"/>
        <d v="2024-05-07T00:00:00"/>
        <d v="2025-10-30T00:00:00"/>
        <d v="2025-04-13T00:00:00"/>
        <d v="2024-09-02T00:00:00"/>
        <d v="2024-01-23T00:00:00"/>
        <d v="2024-03-30T00:00:00"/>
        <d v="2025-12-17T00:00:00"/>
        <d v="2024-03-28T00:00:00"/>
        <d v="2025-10-25T00:00:00"/>
        <d v="2024-04-06T00:00:00"/>
        <d v="2024-12-09T00:00:00"/>
        <d v="2024-05-06T00:00:00"/>
        <d v="2024-02-12T00:00:00"/>
        <d v="2024-07-20T00:00:00"/>
        <d v="2024-03-18T00:00:00"/>
        <d v="2025-07-17T00:00:00"/>
        <d v="2024-04-22T00:00:00"/>
        <d v="2025-11-04T00:00:00"/>
        <d v="2025-06-06T00:00:00"/>
        <d v="2025-08-31T00:00:00"/>
        <d v="2025-03-10T00:00:00"/>
        <d v="2024-12-26T00:00:00"/>
        <d v="2025-09-17T00:00:00"/>
        <d v="2025-11-23T00:00:00"/>
        <d v="2025-10-23T00:00:00"/>
        <d v="2025-01-16T00:00:00"/>
        <d v="2024-12-19T00:00:00"/>
        <d v="2024-03-14T00:00:00"/>
        <d v="2025-03-26T00:00:00"/>
        <d v="2025-08-28T00:00:00"/>
        <d v="2025-01-07T00:00:00"/>
        <d v="2024-09-23T00:00:00"/>
        <d v="2025-05-13T00:00:00"/>
        <d v="2025-03-24T00:00:00"/>
        <d v="2024-09-16T00:00:00"/>
        <d v="2025-08-10T00:00:00"/>
        <d v="2025-01-17T00:00:00"/>
        <d v="2024-08-17T00:00:00"/>
        <d v="2024-06-06T00:00:00"/>
        <d v="2025-12-25T00:00:00"/>
        <d v="2024-05-28T00:00:00"/>
        <d v="2024-10-12T00:00:00"/>
        <d v="2025-01-31T00:00:00"/>
        <d v="2024-01-15T00:00:00"/>
        <d v="2024-12-02T00:00:00"/>
        <d v="2025-11-26T00:00:00"/>
        <d v="2025-07-29T00:00:00"/>
        <d v="2024-11-01T00:00:00"/>
        <d v="2025-12-01T00:00:00"/>
        <d v="2024-09-22T00:00:00"/>
        <d v="2024-01-25T00:00:00"/>
        <d v="2025-02-20T00:00:00"/>
        <d v="2025-02-21T00:00:00"/>
        <d v="2024-02-27T00:00:00"/>
        <d v="2025-08-17T00:00:00"/>
        <d v="2024-02-22T00:00:00"/>
        <d v="2024-02-13T00:00:00"/>
        <d v="2025-10-09T00:00:00"/>
        <d v="2025-10-31T00:00:00"/>
        <d v="2024-04-02T00:00:00"/>
        <d v="2025-09-21T00:00:00"/>
        <d v="2024-10-05T00:00:00"/>
        <d v="2024-11-06T00:00:00"/>
        <d v="2025-10-17T00:00:00"/>
        <d v="2025-11-13T00:00:00"/>
        <d v="2024-04-01T00:00:00"/>
        <d v="2024-11-15T00:00:00"/>
        <d v="2025-10-08T00:00:00"/>
        <d v="2024-06-09T00:00:00"/>
        <d v="2024-10-08T00:00:00"/>
        <d v="2024-09-17T00:00:00"/>
        <d v="2025-07-06T00:00:00"/>
        <d v="2025-12-06T00:00:00"/>
        <d v="2024-04-04T00:00:00"/>
        <d v="2024-04-27T00:00:00"/>
        <d v="2025-10-01T00:00:00"/>
        <d v="2024-09-04T00:00:00"/>
        <d v="2024-03-13T00:00:00"/>
        <d v="2025-04-25T00:00:00"/>
        <d v="2024-10-11T00:00:00"/>
        <d v="2025-11-03T00:00:00"/>
        <d v="2024-12-07T00:00:00"/>
        <d v="2024-05-10T00:00:00"/>
        <d v="2025-11-07T00:00:00"/>
        <d v="2025-03-06T00:00:00"/>
        <d v="2024-04-30T00:00:00"/>
        <d v="2024-11-08T00:00:00"/>
        <d v="2025-01-27T00:00:00"/>
        <d v="2024-06-07T00:00:00"/>
        <d v="2025-11-16T00:00:00"/>
        <d v="2025-05-24T00:00:00"/>
        <d v="2024-11-27T00:00:00"/>
        <d v="2024-08-14T00:00:00"/>
        <d v="2024-06-18T00:00:00"/>
        <d v="2025-11-30T00:00:00"/>
        <d v="2025-09-15T00:00:00"/>
        <d v="2025-12-20T00:00:00"/>
        <d v="2024-01-31T00:00:00"/>
        <d v="2025-06-05T00:00:00"/>
        <d v="2025-03-18T00:00:00"/>
        <d v="2024-07-30T00:00:00"/>
        <d v="2025-03-17T00:00:00"/>
        <d v="2024-08-22T00:00:00"/>
        <d v="2024-06-19T00:00:00"/>
        <d v="2025-02-08T00:00:00"/>
        <d v="2025-11-27T00:00:00"/>
        <d v="2025-03-19T00:00:00"/>
        <d v="2025-08-07T00:00:00"/>
        <d v="2025-12-18T00:00:00"/>
        <d v="2025-06-09T00:00:00"/>
        <d v="2025-08-24T00:00:00"/>
        <d v="2024-10-03T00:00:00"/>
        <d v="2025-04-22T00:00:00"/>
        <d v="2025-08-08T00:00:00"/>
      </sharedItems>
      <fieldGroup par="17"/>
    </cacheField>
    <cacheField name="Discharge Date" numFmtId="164">
      <sharedItems containsSemiMixedTypes="0" containsNonDate="0" containsDate="1" containsString="0" minDate="2024-01-02T00:00:00" maxDate="2026-01-04T00:00:00"/>
    </cacheField>
    <cacheField name="Department" numFmtId="0">
      <sharedItems count="6">
        <s v="Cardiology"/>
        <s v="Emergency"/>
        <s v="General"/>
        <s v="Pediatrics"/>
        <s v="Orthopedics"/>
        <s v="Neurology"/>
      </sharedItems>
    </cacheField>
    <cacheField name="Diagnosis" numFmtId="0">
      <sharedItems count="38">
        <s v="Atrial Fibrillation"/>
        <s v="Angina"/>
        <s v="Abdominal Pain"/>
        <s v="Concussion"/>
        <s v="Flu Complications"/>
        <s v="Diabetes Management"/>
        <s v="Arrhythmia"/>
        <s v="Severe Allergic Reaction"/>
        <s v="Anemia"/>
        <s v="RSV"/>
        <s v="Dehydration"/>
        <s v="Rotator Cuff Injury"/>
        <s v="Neuropathy"/>
        <s v="Knee Replacement"/>
        <s v="ACL Tear"/>
        <s v="Burns"/>
        <s v="Gastritis"/>
        <s v="Multiple Sclerosis"/>
        <s v="Carpal Tunnel"/>
        <s v="Heart Failure"/>
        <s v="Hypertension"/>
        <s v="Pneumonia"/>
        <s v="Asthma"/>
        <s v="Tonsillitis"/>
        <s v="Ear Infection"/>
        <s v="Allergic Reaction"/>
        <s v="Hip Fracture"/>
        <s v="Spinal Disc Herniation"/>
        <s v="Parkinson's Disease"/>
        <s v="Coronary Artery Disease"/>
        <s v="Stroke"/>
        <s v="Fracture"/>
        <s v="Acute Appendicitis"/>
        <s v="UTI"/>
        <s v="Epilepsy"/>
        <s v="Migraine"/>
        <s v="Chest Pain"/>
        <s v="Bronchitis"/>
      </sharedItems>
    </cacheField>
    <cacheField name="Total Bill Amount" numFmtId="165">
      <sharedItems containsSemiMixedTypes="0" containsString="0" containsNumber="1" minValue="534.38" maxValue="38501.9"/>
    </cacheField>
    <cacheField name="Insurance Coverage %" numFmtId="166">
      <sharedItems containsSemiMixedTypes="0" containsString="0" containsNumber="1" containsInteger="1" minValue="0" maxValue="100" count="7">
        <n v="60"/>
        <n v="80"/>
        <n v="0"/>
        <n v="90"/>
        <n v="50"/>
        <n v="70"/>
        <n v="100"/>
      </sharedItems>
    </cacheField>
    <cacheField name="Payment Status" numFmtId="0">
      <sharedItems count="3">
        <s v="Paid"/>
        <s v="Pending"/>
        <s v="Partially Paid"/>
      </sharedItems>
    </cacheField>
    <cacheField name="Length of Stay (Days)" numFmtId="0">
      <sharedItems containsSemiMixedTypes="0" containsString="0" containsNumber="1" containsInteger="1" minValue="1" maxValue="14"/>
    </cacheField>
    <cacheField name="Age Group" numFmtId="0">
      <sharedItems count="5">
        <s v="50–64"/>
        <s v="65+"/>
        <s v="18–34"/>
        <s v="35–49"/>
        <s v="0–17"/>
      </sharedItems>
    </cacheField>
    <cacheField name="Admission Month" numFmtId="0">
      <sharedItems count="24">
        <s v="2024-07"/>
        <s v="2025-03"/>
        <s v="2024-04"/>
        <s v="2024-10"/>
        <s v="2024-11"/>
        <s v="2024-02"/>
        <s v="2025-08"/>
        <s v="2025-11"/>
        <s v="2024-08"/>
        <s v="2025-12"/>
        <s v="2025-02"/>
        <s v="2024-05"/>
        <s v="2024-12"/>
        <s v="2025-05"/>
        <s v="2025-10"/>
        <s v="2024-03"/>
        <s v="2024-06"/>
        <s v="2025-01"/>
        <s v="2025-04"/>
        <s v="2025-06"/>
        <s v="2025-09"/>
        <s v="2024-09"/>
        <s v="2025-07"/>
        <s v="2024-01"/>
      </sharedItems>
    </cacheField>
    <cacheField name="Admission Year" numFmtId="0">
      <sharedItems containsSemiMixedTypes="0" containsString="0" containsNumber="1" containsInteger="1" minValue="2024" maxValue="2025"/>
    </cacheField>
    <cacheField name="Months (Admission Date)" numFmtId="0" databaseField="0">
      <fieldGroup base="4">
        <rangePr groupBy="months" startDate="2024-01-01T00:00:00" endDate="2025-12-29T00:00:00"/>
        <groupItems count="14">
          <s v="&lt;01/01/2024"/>
          <s v="Jan"/>
          <s v="Feb"/>
          <s v="Mar"/>
          <s v="Apr"/>
          <s v="May"/>
          <s v="Jun"/>
          <s v="Jul"/>
          <s v="Aug"/>
          <s v="Sept"/>
          <s v="Oct"/>
          <s v="Nov"/>
          <s v="Dec"/>
          <s v="&gt;29/12/2025"/>
        </groupItems>
      </fieldGroup>
    </cacheField>
    <cacheField name="Quarters (Admission Date)" numFmtId="0" databaseField="0">
      <fieldGroup base="4">
        <rangePr groupBy="quarters" startDate="2024-01-01T00:00:00" endDate="2025-12-29T00:00:00"/>
        <groupItems count="6">
          <s v="&lt;01/01/2024"/>
          <s v="Qtr1"/>
          <s v="Qtr2"/>
          <s v="Qtr3"/>
          <s v="Qtr4"/>
          <s v="&gt;29/12/2025"/>
        </groupItems>
      </fieldGroup>
    </cacheField>
    <cacheField name="Years (Admission Date)" numFmtId="0" databaseField="0">
      <fieldGroup base="4">
        <rangePr groupBy="years" startDate="2024-01-01T00:00:00" endDate="2025-12-29T00:00:00"/>
        <groupItems count="4">
          <s v="&lt;01/01/2024"/>
          <s v="2024"/>
          <s v="2025"/>
          <s v="&gt;29/12/2025"/>
        </groupItems>
      </fieldGroup>
    </cacheField>
  </cacheFields>
  <extLst>
    <ext xmlns:x14="http://schemas.microsoft.com/office/spreadsheetml/2009/9/main" uri="{725AE2AE-9491-48be-B2B4-4EB974FC3084}">
      <x14:pivotCacheDefinition pivotCacheId="141674145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Thomas Martin"/>
    <x v="0"/>
    <x v="0"/>
    <x v="0"/>
    <d v="2024-07-23T00:00:00"/>
    <x v="0"/>
    <x v="0"/>
    <n v="15359.41"/>
    <x v="0"/>
    <x v="0"/>
    <n v="8"/>
    <x v="0"/>
    <x v="0"/>
    <n v="2024"/>
  </r>
  <r>
    <x v="1"/>
    <s v="Betty Thompson"/>
    <x v="1"/>
    <x v="1"/>
    <x v="1"/>
    <d v="2025-03-23T00:00:00"/>
    <x v="0"/>
    <x v="1"/>
    <n v="21896.6"/>
    <x v="1"/>
    <x v="1"/>
    <n v="10"/>
    <x v="0"/>
    <x v="1"/>
    <n v="2025"/>
  </r>
  <r>
    <x v="2"/>
    <s v="Lisa Rodriguez"/>
    <x v="2"/>
    <x v="1"/>
    <x v="2"/>
    <d v="2024-04-08T00:00:00"/>
    <x v="1"/>
    <x v="2"/>
    <n v="6404.86"/>
    <x v="2"/>
    <x v="2"/>
    <n v="3"/>
    <x v="1"/>
    <x v="2"/>
    <n v="2024"/>
  </r>
  <r>
    <x v="3"/>
    <s v="Donna Jones"/>
    <x v="3"/>
    <x v="1"/>
    <x v="3"/>
    <d v="2024-10-24T00:00:00"/>
    <x v="1"/>
    <x v="3"/>
    <n v="1001.68"/>
    <x v="3"/>
    <x v="1"/>
    <n v="1"/>
    <x v="2"/>
    <x v="3"/>
    <n v="2024"/>
  </r>
  <r>
    <x v="4"/>
    <s v="Michael Walker"/>
    <x v="4"/>
    <x v="0"/>
    <x v="4"/>
    <d v="2024-12-01T00:00:00"/>
    <x v="2"/>
    <x v="4"/>
    <n v="4022.42"/>
    <x v="1"/>
    <x v="1"/>
    <n v="6"/>
    <x v="1"/>
    <x v="4"/>
    <n v="2024"/>
  </r>
  <r>
    <x v="5"/>
    <s v="Kenneth Lewis"/>
    <x v="5"/>
    <x v="0"/>
    <x v="5"/>
    <d v="2024-07-28T00:00:00"/>
    <x v="2"/>
    <x v="5"/>
    <n v="6621.96"/>
    <x v="4"/>
    <x v="2"/>
    <n v="7"/>
    <x v="0"/>
    <x v="0"/>
    <n v="2024"/>
  </r>
  <r>
    <x v="6"/>
    <s v="Linda Smith"/>
    <x v="6"/>
    <x v="1"/>
    <x v="6"/>
    <d v="2024-02-13T00:00:00"/>
    <x v="0"/>
    <x v="6"/>
    <n v="7676.36"/>
    <x v="5"/>
    <x v="2"/>
    <n v="4"/>
    <x v="3"/>
    <x v="5"/>
    <n v="2024"/>
  </r>
  <r>
    <x v="7"/>
    <s v="Susan Garcia"/>
    <x v="7"/>
    <x v="1"/>
    <x v="7"/>
    <d v="2024-02-27T00:00:00"/>
    <x v="1"/>
    <x v="7"/>
    <n v="7381.69"/>
    <x v="1"/>
    <x v="1"/>
    <n v="3"/>
    <x v="2"/>
    <x v="5"/>
    <n v="2024"/>
  </r>
  <r>
    <x v="8"/>
    <s v="James Jones"/>
    <x v="1"/>
    <x v="0"/>
    <x v="8"/>
    <d v="2024-11-17T00:00:00"/>
    <x v="2"/>
    <x v="8"/>
    <n v="5206.3999999999996"/>
    <x v="1"/>
    <x v="1"/>
    <n v="6"/>
    <x v="0"/>
    <x v="4"/>
    <n v="2024"/>
  </r>
  <r>
    <x v="9"/>
    <s v="Christopher Johnson"/>
    <x v="8"/>
    <x v="0"/>
    <x v="9"/>
    <d v="2025-08-06T00:00:00"/>
    <x v="1"/>
    <x v="7"/>
    <n v="2498.98"/>
    <x v="4"/>
    <x v="1"/>
    <n v="1"/>
    <x v="0"/>
    <x v="6"/>
    <n v="2025"/>
  </r>
  <r>
    <x v="10"/>
    <s v="Daniel Thomas"/>
    <x v="9"/>
    <x v="0"/>
    <x v="10"/>
    <d v="2025-11-08T00:00:00"/>
    <x v="3"/>
    <x v="9"/>
    <n v="2096.73"/>
    <x v="5"/>
    <x v="0"/>
    <n v="2"/>
    <x v="4"/>
    <x v="7"/>
    <n v="2025"/>
  </r>
  <r>
    <x v="11"/>
    <s v="Sandra Smith"/>
    <x v="10"/>
    <x v="1"/>
    <x v="11"/>
    <d v="2025-03-08T00:00:00"/>
    <x v="2"/>
    <x v="10"/>
    <n v="4619.6099999999997"/>
    <x v="5"/>
    <x v="1"/>
    <n v="5"/>
    <x v="1"/>
    <x v="1"/>
    <n v="2025"/>
  </r>
  <r>
    <x v="12"/>
    <s v="Michael Smith"/>
    <x v="11"/>
    <x v="0"/>
    <x v="12"/>
    <d v="2024-07-29T00:00:00"/>
    <x v="1"/>
    <x v="2"/>
    <n v="3367.87"/>
    <x v="3"/>
    <x v="0"/>
    <n v="2"/>
    <x v="3"/>
    <x v="0"/>
    <n v="2024"/>
  </r>
  <r>
    <x v="13"/>
    <s v="Thomas Taylor"/>
    <x v="12"/>
    <x v="0"/>
    <x v="13"/>
    <d v="2024-08-22T00:00:00"/>
    <x v="2"/>
    <x v="5"/>
    <n v="2287.25"/>
    <x v="0"/>
    <x v="0"/>
    <n v="2"/>
    <x v="2"/>
    <x v="8"/>
    <n v="2024"/>
  </r>
  <r>
    <x v="14"/>
    <s v="Jennifer Williams"/>
    <x v="13"/>
    <x v="1"/>
    <x v="14"/>
    <d v="2025-12-21T00:00:00"/>
    <x v="4"/>
    <x v="11"/>
    <n v="12489.51"/>
    <x v="6"/>
    <x v="0"/>
    <n v="9"/>
    <x v="1"/>
    <x v="9"/>
    <n v="2025"/>
  </r>
  <r>
    <x v="15"/>
    <s v="Nancy Lee"/>
    <x v="14"/>
    <x v="1"/>
    <x v="15"/>
    <d v="2025-02-13T00:00:00"/>
    <x v="2"/>
    <x v="5"/>
    <n v="4262.21"/>
    <x v="6"/>
    <x v="0"/>
    <n v="6"/>
    <x v="1"/>
    <x v="10"/>
    <n v="2025"/>
  </r>
  <r>
    <x v="16"/>
    <s v="Kevin Miller"/>
    <x v="15"/>
    <x v="0"/>
    <x v="16"/>
    <d v="2024-08-28T00:00:00"/>
    <x v="2"/>
    <x v="5"/>
    <n v="5523.81"/>
    <x v="5"/>
    <x v="1"/>
    <n v="4"/>
    <x v="3"/>
    <x v="8"/>
    <n v="2024"/>
  </r>
  <r>
    <x v="17"/>
    <s v="Elizabeth Moore"/>
    <x v="16"/>
    <x v="1"/>
    <x v="17"/>
    <d v="2024-05-29T00:00:00"/>
    <x v="2"/>
    <x v="4"/>
    <n v="1097.76"/>
    <x v="1"/>
    <x v="0"/>
    <n v="2"/>
    <x v="1"/>
    <x v="11"/>
    <n v="2024"/>
  </r>
  <r>
    <x v="18"/>
    <s v="Carol Rodriguez"/>
    <x v="17"/>
    <x v="1"/>
    <x v="18"/>
    <d v="2024-12-29T00:00:00"/>
    <x v="5"/>
    <x v="12"/>
    <n v="14272.73"/>
    <x v="1"/>
    <x v="1"/>
    <n v="6"/>
    <x v="3"/>
    <x v="12"/>
    <n v="2024"/>
  </r>
  <r>
    <x v="19"/>
    <s v="Karen Hernandez"/>
    <x v="18"/>
    <x v="1"/>
    <x v="19"/>
    <d v="2025-06-09T00:00:00"/>
    <x v="4"/>
    <x v="13"/>
    <n v="18429.310000000001"/>
    <x v="6"/>
    <x v="0"/>
    <n v="13"/>
    <x v="3"/>
    <x v="13"/>
    <n v="2025"/>
  </r>
  <r>
    <x v="20"/>
    <s v="Michael Miller"/>
    <x v="19"/>
    <x v="0"/>
    <x v="20"/>
    <d v="2025-10-28T00:00:00"/>
    <x v="4"/>
    <x v="14"/>
    <n v="11481.03"/>
    <x v="1"/>
    <x v="1"/>
    <n v="6"/>
    <x v="3"/>
    <x v="14"/>
    <n v="2025"/>
  </r>
  <r>
    <x v="21"/>
    <s v="Karen Martinez"/>
    <x v="13"/>
    <x v="1"/>
    <x v="21"/>
    <d v="2025-02-14T00:00:00"/>
    <x v="0"/>
    <x v="0"/>
    <n v="6324.27"/>
    <x v="1"/>
    <x v="0"/>
    <n v="3"/>
    <x v="1"/>
    <x v="10"/>
    <n v="2025"/>
  </r>
  <r>
    <x v="22"/>
    <s v="William Wilson"/>
    <x v="20"/>
    <x v="0"/>
    <x v="22"/>
    <d v="2024-11-18T00:00:00"/>
    <x v="1"/>
    <x v="15"/>
    <n v="1888.07"/>
    <x v="1"/>
    <x v="2"/>
    <n v="1"/>
    <x v="2"/>
    <x v="4"/>
    <n v="2024"/>
  </r>
  <r>
    <x v="23"/>
    <s v="Ashley Young"/>
    <x v="21"/>
    <x v="1"/>
    <x v="23"/>
    <d v="2024-03-27T00:00:00"/>
    <x v="0"/>
    <x v="0"/>
    <n v="21654.18"/>
    <x v="5"/>
    <x v="0"/>
    <n v="8"/>
    <x v="1"/>
    <x v="15"/>
    <n v="2024"/>
  </r>
  <r>
    <x v="24"/>
    <s v="Betty Wilson"/>
    <x v="0"/>
    <x v="1"/>
    <x v="24"/>
    <d v="2025-02-21T00:00:00"/>
    <x v="2"/>
    <x v="16"/>
    <n v="2641.14"/>
    <x v="6"/>
    <x v="0"/>
    <n v="3"/>
    <x v="0"/>
    <x v="10"/>
    <n v="2025"/>
  </r>
  <r>
    <x v="25"/>
    <s v="Steven Garcia"/>
    <x v="22"/>
    <x v="0"/>
    <x v="25"/>
    <d v="2024-06-24T00:00:00"/>
    <x v="2"/>
    <x v="10"/>
    <n v="5522.03"/>
    <x v="2"/>
    <x v="2"/>
    <n v="4"/>
    <x v="3"/>
    <x v="16"/>
    <n v="2024"/>
  </r>
  <r>
    <x v="26"/>
    <s v="Paul Taylor"/>
    <x v="23"/>
    <x v="0"/>
    <x v="26"/>
    <d v="2024-06-08T00:00:00"/>
    <x v="0"/>
    <x v="6"/>
    <n v="8789.32"/>
    <x v="3"/>
    <x v="1"/>
    <n v="5"/>
    <x v="0"/>
    <x v="16"/>
    <n v="2024"/>
  </r>
  <r>
    <x v="27"/>
    <s v="Daniel Lopez"/>
    <x v="1"/>
    <x v="0"/>
    <x v="27"/>
    <d v="2025-01-30T00:00:00"/>
    <x v="5"/>
    <x v="17"/>
    <n v="7969.42"/>
    <x v="6"/>
    <x v="0"/>
    <n v="5"/>
    <x v="0"/>
    <x v="17"/>
    <n v="2025"/>
  </r>
  <r>
    <x v="28"/>
    <s v="Joseph Brown"/>
    <x v="24"/>
    <x v="0"/>
    <x v="28"/>
    <d v="2025-04-12T00:00:00"/>
    <x v="4"/>
    <x v="18"/>
    <n v="7929.71"/>
    <x v="3"/>
    <x v="0"/>
    <n v="6"/>
    <x v="0"/>
    <x v="18"/>
    <n v="2025"/>
  </r>
  <r>
    <x v="29"/>
    <s v="Linda Wilson"/>
    <x v="17"/>
    <x v="1"/>
    <x v="29"/>
    <d v="2024-10-04T00:00:00"/>
    <x v="1"/>
    <x v="3"/>
    <n v="4772.8900000000003"/>
    <x v="3"/>
    <x v="0"/>
    <n v="3"/>
    <x v="3"/>
    <x v="3"/>
    <n v="2024"/>
  </r>
  <r>
    <x v="30"/>
    <s v="Emily Moore"/>
    <x v="25"/>
    <x v="1"/>
    <x v="30"/>
    <d v="2024-06-26T00:00:00"/>
    <x v="0"/>
    <x v="19"/>
    <n v="6826.49"/>
    <x v="1"/>
    <x v="0"/>
    <n v="3"/>
    <x v="1"/>
    <x v="16"/>
    <n v="2024"/>
  </r>
  <r>
    <x v="31"/>
    <s v="Sarah Wilson"/>
    <x v="26"/>
    <x v="1"/>
    <x v="31"/>
    <d v="2024-03-22T00:00:00"/>
    <x v="2"/>
    <x v="4"/>
    <n v="2177.7800000000002"/>
    <x v="3"/>
    <x v="2"/>
    <n v="2"/>
    <x v="1"/>
    <x v="15"/>
    <n v="2024"/>
  </r>
  <r>
    <x v="32"/>
    <s v="Nancy Clark"/>
    <x v="7"/>
    <x v="1"/>
    <x v="32"/>
    <d v="2025-05-23T00:00:00"/>
    <x v="1"/>
    <x v="3"/>
    <n v="3527.3"/>
    <x v="2"/>
    <x v="2"/>
    <n v="2"/>
    <x v="2"/>
    <x v="13"/>
    <n v="2025"/>
  </r>
  <r>
    <x v="33"/>
    <s v="Kevin Clark"/>
    <x v="27"/>
    <x v="0"/>
    <x v="33"/>
    <d v="2025-10-16T00:00:00"/>
    <x v="1"/>
    <x v="3"/>
    <n v="1184.01"/>
    <x v="6"/>
    <x v="0"/>
    <n v="1"/>
    <x v="3"/>
    <x v="14"/>
    <n v="2025"/>
  </r>
  <r>
    <x v="34"/>
    <s v="Joseph Williams"/>
    <x v="28"/>
    <x v="0"/>
    <x v="34"/>
    <d v="2025-03-26T00:00:00"/>
    <x v="0"/>
    <x v="20"/>
    <n v="10760.65"/>
    <x v="6"/>
    <x v="0"/>
    <n v="5"/>
    <x v="0"/>
    <x v="1"/>
    <n v="2025"/>
  </r>
  <r>
    <x v="35"/>
    <s v="Jennifer Jackson"/>
    <x v="29"/>
    <x v="1"/>
    <x v="35"/>
    <d v="2025-08-14T00:00:00"/>
    <x v="2"/>
    <x v="21"/>
    <n v="7422.15"/>
    <x v="0"/>
    <x v="1"/>
    <n v="5"/>
    <x v="2"/>
    <x v="6"/>
    <n v="2025"/>
  </r>
  <r>
    <x v="36"/>
    <s v="Elizabeth Rodriguez"/>
    <x v="9"/>
    <x v="1"/>
    <x v="36"/>
    <d v="2025-06-08T00:00:00"/>
    <x v="3"/>
    <x v="22"/>
    <n v="3623.14"/>
    <x v="4"/>
    <x v="0"/>
    <n v="5"/>
    <x v="4"/>
    <x v="19"/>
    <n v="2025"/>
  </r>
  <r>
    <x v="37"/>
    <s v="Mark Miller"/>
    <x v="9"/>
    <x v="0"/>
    <x v="37"/>
    <d v="2024-12-11T00:00:00"/>
    <x v="3"/>
    <x v="23"/>
    <n v="946.04"/>
    <x v="3"/>
    <x v="1"/>
    <n v="1"/>
    <x v="4"/>
    <x v="12"/>
    <n v="2024"/>
  </r>
  <r>
    <x v="38"/>
    <s v="Kenneth Martinez"/>
    <x v="30"/>
    <x v="0"/>
    <x v="20"/>
    <d v="2025-10-25T00:00:00"/>
    <x v="3"/>
    <x v="24"/>
    <n v="3976.01"/>
    <x v="0"/>
    <x v="2"/>
    <n v="3"/>
    <x v="4"/>
    <x v="14"/>
    <n v="2025"/>
  </r>
  <r>
    <x v="39"/>
    <s v="Karen Young"/>
    <x v="16"/>
    <x v="1"/>
    <x v="38"/>
    <d v="2024-12-26T00:00:00"/>
    <x v="0"/>
    <x v="0"/>
    <n v="26928.32"/>
    <x v="5"/>
    <x v="2"/>
    <n v="9"/>
    <x v="1"/>
    <x v="12"/>
    <n v="2024"/>
  </r>
  <r>
    <x v="40"/>
    <s v="Dorothy Ramirez"/>
    <x v="16"/>
    <x v="1"/>
    <x v="39"/>
    <d v="2025-02-18T00:00:00"/>
    <x v="0"/>
    <x v="19"/>
    <n v="7203.24"/>
    <x v="5"/>
    <x v="0"/>
    <n v="5"/>
    <x v="1"/>
    <x v="10"/>
    <n v="2025"/>
  </r>
  <r>
    <x v="41"/>
    <s v="Donna Williams"/>
    <x v="31"/>
    <x v="1"/>
    <x v="40"/>
    <d v="2025-11-22T00:00:00"/>
    <x v="3"/>
    <x v="25"/>
    <n v="5685.06"/>
    <x v="1"/>
    <x v="0"/>
    <n v="4"/>
    <x v="4"/>
    <x v="7"/>
    <n v="2025"/>
  </r>
  <r>
    <x v="42"/>
    <s v="Nancy Harris"/>
    <x v="32"/>
    <x v="1"/>
    <x v="41"/>
    <d v="2025-09-08T00:00:00"/>
    <x v="4"/>
    <x v="26"/>
    <n v="4949.0600000000004"/>
    <x v="4"/>
    <x v="0"/>
    <n v="3"/>
    <x v="1"/>
    <x v="20"/>
    <n v="2025"/>
  </r>
  <r>
    <x v="43"/>
    <s v="William Wilson"/>
    <x v="33"/>
    <x v="0"/>
    <x v="42"/>
    <d v="2024-12-16T00:00:00"/>
    <x v="4"/>
    <x v="14"/>
    <n v="5586.28"/>
    <x v="3"/>
    <x v="0"/>
    <n v="4"/>
    <x v="0"/>
    <x v="12"/>
    <n v="2024"/>
  </r>
  <r>
    <x v="44"/>
    <s v="Michelle Taylor"/>
    <x v="32"/>
    <x v="1"/>
    <x v="43"/>
    <d v="2024-07-18T00:00:00"/>
    <x v="2"/>
    <x v="10"/>
    <n v="766.8"/>
    <x v="0"/>
    <x v="1"/>
    <n v="1"/>
    <x v="1"/>
    <x v="0"/>
    <n v="2024"/>
  </r>
  <r>
    <x v="45"/>
    <s v="Elizabeth Rodriguez"/>
    <x v="34"/>
    <x v="1"/>
    <x v="44"/>
    <d v="2024-05-26T00:00:00"/>
    <x v="4"/>
    <x v="13"/>
    <n v="28480.18"/>
    <x v="5"/>
    <x v="0"/>
    <n v="13"/>
    <x v="0"/>
    <x v="11"/>
    <n v="2024"/>
  </r>
  <r>
    <x v="46"/>
    <s v="Elizabeth Harris"/>
    <x v="35"/>
    <x v="1"/>
    <x v="45"/>
    <d v="2025-01-08T00:00:00"/>
    <x v="2"/>
    <x v="21"/>
    <n v="1098.9100000000001"/>
    <x v="5"/>
    <x v="1"/>
    <n v="2"/>
    <x v="3"/>
    <x v="17"/>
    <n v="2025"/>
  </r>
  <r>
    <x v="47"/>
    <s v="David Wilson"/>
    <x v="36"/>
    <x v="0"/>
    <x v="46"/>
    <d v="2025-11-15T00:00:00"/>
    <x v="4"/>
    <x v="27"/>
    <n v="22377.119999999999"/>
    <x v="1"/>
    <x v="0"/>
    <n v="10"/>
    <x v="0"/>
    <x v="7"/>
    <n v="2025"/>
  </r>
  <r>
    <x v="48"/>
    <s v="Kevin Wilson"/>
    <x v="37"/>
    <x v="0"/>
    <x v="47"/>
    <d v="2024-09-14T00:00:00"/>
    <x v="3"/>
    <x v="23"/>
    <n v="3895.9"/>
    <x v="2"/>
    <x v="1"/>
    <n v="4"/>
    <x v="4"/>
    <x v="21"/>
    <n v="2024"/>
  </r>
  <r>
    <x v="49"/>
    <s v="James Wilson"/>
    <x v="38"/>
    <x v="0"/>
    <x v="48"/>
    <d v="2025-09-29T00:00:00"/>
    <x v="4"/>
    <x v="27"/>
    <n v="10684"/>
    <x v="0"/>
    <x v="0"/>
    <n v="9"/>
    <x v="0"/>
    <x v="20"/>
    <n v="2025"/>
  </r>
  <r>
    <x v="50"/>
    <s v="Jennifer Perez"/>
    <x v="20"/>
    <x v="1"/>
    <x v="49"/>
    <d v="2024-07-10T00:00:00"/>
    <x v="2"/>
    <x v="5"/>
    <n v="3643.5"/>
    <x v="5"/>
    <x v="2"/>
    <n v="4"/>
    <x v="2"/>
    <x v="0"/>
    <n v="2024"/>
  </r>
  <r>
    <x v="51"/>
    <s v="Mary Johnson"/>
    <x v="13"/>
    <x v="1"/>
    <x v="50"/>
    <d v="2024-10-13T00:00:00"/>
    <x v="1"/>
    <x v="2"/>
    <n v="5702.96"/>
    <x v="1"/>
    <x v="0"/>
    <n v="3"/>
    <x v="1"/>
    <x v="3"/>
    <n v="2024"/>
  </r>
  <r>
    <x v="52"/>
    <s v="Joseph Thomas"/>
    <x v="39"/>
    <x v="0"/>
    <x v="41"/>
    <d v="2025-09-12T00:00:00"/>
    <x v="0"/>
    <x v="1"/>
    <n v="18049.650000000001"/>
    <x v="1"/>
    <x v="0"/>
    <n v="7"/>
    <x v="0"/>
    <x v="20"/>
    <n v="2025"/>
  </r>
  <r>
    <x v="53"/>
    <s v="Anthony Thomas"/>
    <x v="8"/>
    <x v="0"/>
    <x v="51"/>
    <d v="2025-04-10T00:00:00"/>
    <x v="0"/>
    <x v="0"/>
    <n v="16488.400000000001"/>
    <x v="1"/>
    <x v="0"/>
    <n v="6"/>
    <x v="0"/>
    <x v="18"/>
    <n v="2025"/>
  </r>
  <r>
    <x v="54"/>
    <s v="Donna Clark"/>
    <x v="40"/>
    <x v="1"/>
    <x v="52"/>
    <d v="2025-01-13T00:00:00"/>
    <x v="5"/>
    <x v="28"/>
    <n v="18217.14"/>
    <x v="4"/>
    <x v="2"/>
    <n v="8"/>
    <x v="0"/>
    <x v="17"/>
    <n v="2025"/>
  </r>
  <r>
    <x v="55"/>
    <s v="Andrew Jones"/>
    <x v="34"/>
    <x v="0"/>
    <x v="53"/>
    <d v="2024-11-23T00:00:00"/>
    <x v="4"/>
    <x v="13"/>
    <n v="16175.09"/>
    <x v="1"/>
    <x v="1"/>
    <n v="11"/>
    <x v="0"/>
    <x v="4"/>
    <n v="2024"/>
  </r>
  <r>
    <x v="56"/>
    <s v="Jennifer Martinez"/>
    <x v="41"/>
    <x v="1"/>
    <x v="54"/>
    <d v="2024-03-29T00:00:00"/>
    <x v="0"/>
    <x v="0"/>
    <n v="12858.55"/>
    <x v="1"/>
    <x v="1"/>
    <n v="8"/>
    <x v="1"/>
    <x v="15"/>
    <n v="2024"/>
  </r>
  <r>
    <x v="57"/>
    <s v="Mark Lewis"/>
    <x v="3"/>
    <x v="0"/>
    <x v="55"/>
    <d v="2025-05-19T00:00:00"/>
    <x v="4"/>
    <x v="13"/>
    <n v="14617.11"/>
    <x v="2"/>
    <x v="2"/>
    <n v="14"/>
    <x v="2"/>
    <x v="13"/>
    <n v="2025"/>
  </r>
  <r>
    <x v="58"/>
    <s v="Mark Miller"/>
    <x v="41"/>
    <x v="0"/>
    <x v="6"/>
    <d v="2024-02-16T00:00:00"/>
    <x v="0"/>
    <x v="29"/>
    <n v="8848.16"/>
    <x v="3"/>
    <x v="0"/>
    <n v="7"/>
    <x v="1"/>
    <x v="5"/>
    <n v="2024"/>
  </r>
  <r>
    <x v="59"/>
    <s v="Steven Garcia"/>
    <x v="15"/>
    <x v="0"/>
    <x v="56"/>
    <d v="2024-05-25T00:00:00"/>
    <x v="1"/>
    <x v="15"/>
    <n v="4529.29"/>
    <x v="0"/>
    <x v="2"/>
    <n v="2"/>
    <x v="3"/>
    <x v="11"/>
    <n v="2024"/>
  </r>
  <r>
    <x v="60"/>
    <s v="Jessica Thomas"/>
    <x v="42"/>
    <x v="1"/>
    <x v="53"/>
    <d v="2024-11-14T00:00:00"/>
    <x v="2"/>
    <x v="10"/>
    <n v="1655.08"/>
    <x v="1"/>
    <x v="0"/>
    <n v="2"/>
    <x v="3"/>
    <x v="4"/>
    <n v="2024"/>
  </r>
  <r>
    <x v="61"/>
    <s v="Joshua Lee"/>
    <x v="43"/>
    <x v="0"/>
    <x v="57"/>
    <d v="2025-04-30T00:00:00"/>
    <x v="3"/>
    <x v="23"/>
    <n v="1165.3699999999999"/>
    <x v="1"/>
    <x v="1"/>
    <n v="1"/>
    <x v="4"/>
    <x v="18"/>
    <n v="2025"/>
  </r>
  <r>
    <x v="62"/>
    <s v="Linda Lopez"/>
    <x v="44"/>
    <x v="1"/>
    <x v="58"/>
    <d v="2025-04-28T00:00:00"/>
    <x v="0"/>
    <x v="29"/>
    <n v="5020.34"/>
    <x v="1"/>
    <x v="0"/>
    <n v="4"/>
    <x v="3"/>
    <x v="18"/>
    <n v="2025"/>
  </r>
  <r>
    <x v="63"/>
    <s v="Jennifer Jackson"/>
    <x v="45"/>
    <x v="1"/>
    <x v="59"/>
    <d v="2024-04-26T00:00:00"/>
    <x v="3"/>
    <x v="24"/>
    <n v="4344.45"/>
    <x v="6"/>
    <x v="0"/>
    <n v="3"/>
    <x v="4"/>
    <x v="2"/>
    <n v="2024"/>
  </r>
  <r>
    <x v="64"/>
    <s v="Betty Garcia"/>
    <x v="11"/>
    <x v="1"/>
    <x v="60"/>
    <d v="2025-10-21T00:00:00"/>
    <x v="0"/>
    <x v="29"/>
    <n v="11900.88"/>
    <x v="1"/>
    <x v="1"/>
    <n v="9"/>
    <x v="3"/>
    <x v="14"/>
    <n v="2025"/>
  </r>
  <r>
    <x v="65"/>
    <s v="Kenneth Wilson"/>
    <x v="13"/>
    <x v="0"/>
    <x v="61"/>
    <d v="2025-02-02T00:00:00"/>
    <x v="5"/>
    <x v="17"/>
    <n v="12380.25"/>
    <x v="1"/>
    <x v="0"/>
    <n v="9"/>
    <x v="1"/>
    <x v="17"/>
    <n v="2025"/>
  </r>
  <r>
    <x v="66"/>
    <s v="Daniel Anderson"/>
    <x v="39"/>
    <x v="0"/>
    <x v="62"/>
    <d v="2025-11-29T00:00:00"/>
    <x v="0"/>
    <x v="20"/>
    <n v="9509.74"/>
    <x v="3"/>
    <x v="0"/>
    <n v="4"/>
    <x v="0"/>
    <x v="7"/>
    <n v="2025"/>
  </r>
  <r>
    <x v="67"/>
    <s v="Jessica Young"/>
    <x v="34"/>
    <x v="1"/>
    <x v="63"/>
    <d v="2025-03-19T00:00:00"/>
    <x v="5"/>
    <x v="28"/>
    <n v="6803.88"/>
    <x v="1"/>
    <x v="0"/>
    <n v="4"/>
    <x v="0"/>
    <x v="1"/>
    <n v="2025"/>
  </r>
  <r>
    <x v="68"/>
    <s v="Michelle Lee"/>
    <x v="13"/>
    <x v="1"/>
    <x v="64"/>
    <d v="2024-06-04T00:00:00"/>
    <x v="4"/>
    <x v="13"/>
    <n v="23530.58"/>
    <x v="1"/>
    <x v="2"/>
    <n v="11"/>
    <x v="1"/>
    <x v="11"/>
    <n v="2024"/>
  </r>
  <r>
    <x v="69"/>
    <s v="Joseph Johnson"/>
    <x v="46"/>
    <x v="0"/>
    <x v="65"/>
    <d v="2025-04-06T00:00:00"/>
    <x v="1"/>
    <x v="7"/>
    <n v="1108.28"/>
    <x v="4"/>
    <x v="0"/>
    <n v="1"/>
    <x v="1"/>
    <x v="18"/>
    <n v="2025"/>
  </r>
  <r>
    <x v="70"/>
    <s v="Paul White"/>
    <x v="26"/>
    <x v="0"/>
    <x v="66"/>
    <d v="2025-12-29T00:00:00"/>
    <x v="0"/>
    <x v="6"/>
    <n v="15858.97"/>
    <x v="1"/>
    <x v="0"/>
    <n v="7"/>
    <x v="1"/>
    <x v="9"/>
    <n v="2025"/>
  </r>
  <r>
    <x v="71"/>
    <s v="Andrew Young"/>
    <x v="21"/>
    <x v="0"/>
    <x v="67"/>
    <d v="2025-02-02T00:00:00"/>
    <x v="4"/>
    <x v="18"/>
    <n v="24022.14"/>
    <x v="1"/>
    <x v="2"/>
    <n v="14"/>
    <x v="1"/>
    <x v="17"/>
    <n v="2025"/>
  </r>
  <r>
    <x v="72"/>
    <s v="Michelle Wilson"/>
    <x v="3"/>
    <x v="1"/>
    <x v="68"/>
    <d v="2024-11-02T00:00:00"/>
    <x v="4"/>
    <x v="18"/>
    <n v="13601.98"/>
    <x v="1"/>
    <x v="1"/>
    <n v="12"/>
    <x v="2"/>
    <x v="3"/>
    <n v="2024"/>
  </r>
  <r>
    <x v="73"/>
    <s v="Kenneth White"/>
    <x v="47"/>
    <x v="0"/>
    <x v="59"/>
    <d v="2024-05-02T00:00:00"/>
    <x v="5"/>
    <x v="30"/>
    <n v="11054.91"/>
    <x v="1"/>
    <x v="0"/>
    <n v="9"/>
    <x v="3"/>
    <x v="2"/>
    <n v="2024"/>
  </r>
  <r>
    <x v="74"/>
    <s v="Matthew Clark"/>
    <x v="48"/>
    <x v="0"/>
    <x v="62"/>
    <d v="2025-11-28T00:00:00"/>
    <x v="1"/>
    <x v="2"/>
    <n v="4292.29"/>
    <x v="5"/>
    <x v="0"/>
    <n v="3"/>
    <x v="1"/>
    <x v="7"/>
    <n v="2025"/>
  </r>
  <r>
    <x v="75"/>
    <s v="Elizabeth Lewis"/>
    <x v="23"/>
    <x v="1"/>
    <x v="69"/>
    <d v="2025-11-17T00:00:00"/>
    <x v="0"/>
    <x v="29"/>
    <n v="15148.04"/>
    <x v="6"/>
    <x v="0"/>
    <n v="9"/>
    <x v="0"/>
    <x v="7"/>
    <n v="2025"/>
  </r>
  <r>
    <x v="76"/>
    <s v="Mary Thomas"/>
    <x v="49"/>
    <x v="1"/>
    <x v="70"/>
    <d v="2025-04-08T00:00:00"/>
    <x v="5"/>
    <x v="28"/>
    <n v="12486.34"/>
    <x v="0"/>
    <x v="1"/>
    <n v="7"/>
    <x v="2"/>
    <x v="18"/>
    <n v="2025"/>
  </r>
  <r>
    <x v="77"/>
    <s v="Elizabeth Rodriguez"/>
    <x v="50"/>
    <x v="1"/>
    <x v="62"/>
    <d v="2025-11-30T00:00:00"/>
    <x v="3"/>
    <x v="24"/>
    <n v="6755.47"/>
    <x v="3"/>
    <x v="0"/>
    <n v="5"/>
    <x v="4"/>
    <x v="7"/>
    <n v="2025"/>
  </r>
  <r>
    <x v="78"/>
    <s v="Michelle Perez"/>
    <x v="36"/>
    <x v="1"/>
    <x v="71"/>
    <d v="2025-09-05T00:00:00"/>
    <x v="1"/>
    <x v="31"/>
    <n v="2919.13"/>
    <x v="6"/>
    <x v="0"/>
    <n v="2"/>
    <x v="0"/>
    <x v="20"/>
    <n v="2025"/>
  </r>
  <r>
    <x v="79"/>
    <s v="Betty Walker"/>
    <x v="11"/>
    <x v="1"/>
    <x v="72"/>
    <d v="2025-07-19T00:00:00"/>
    <x v="4"/>
    <x v="13"/>
    <n v="30241.53"/>
    <x v="6"/>
    <x v="0"/>
    <n v="14"/>
    <x v="3"/>
    <x v="22"/>
    <n v="2025"/>
  </r>
  <r>
    <x v="80"/>
    <s v="Sarah Jackson"/>
    <x v="14"/>
    <x v="1"/>
    <x v="73"/>
    <d v="2024-07-17T00:00:00"/>
    <x v="0"/>
    <x v="20"/>
    <n v="12489.15"/>
    <x v="2"/>
    <x v="1"/>
    <n v="7"/>
    <x v="1"/>
    <x v="0"/>
    <n v="2024"/>
  </r>
  <r>
    <x v="81"/>
    <s v="Jessica Thompson"/>
    <x v="51"/>
    <x v="1"/>
    <x v="74"/>
    <d v="2024-02-07T00:00:00"/>
    <x v="4"/>
    <x v="26"/>
    <n v="12813.71"/>
    <x v="5"/>
    <x v="0"/>
    <n v="6"/>
    <x v="2"/>
    <x v="5"/>
    <n v="2024"/>
  </r>
  <r>
    <x v="82"/>
    <s v="Elizabeth Perez"/>
    <x v="1"/>
    <x v="1"/>
    <x v="75"/>
    <d v="2024-05-01T00:00:00"/>
    <x v="4"/>
    <x v="26"/>
    <n v="13205.04"/>
    <x v="5"/>
    <x v="0"/>
    <n v="5"/>
    <x v="0"/>
    <x v="2"/>
    <n v="2024"/>
  </r>
  <r>
    <x v="83"/>
    <s v="Paul Harris"/>
    <x v="46"/>
    <x v="0"/>
    <x v="66"/>
    <d v="2025-12-29T00:00:00"/>
    <x v="2"/>
    <x v="4"/>
    <n v="3620.28"/>
    <x v="1"/>
    <x v="0"/>
    <n v="7"/>
    <x v="1"/>
    <x v="9"/>
    <n v="2025"/>
  </r>
  <r>
    <x v="84"/>
    <s v="Jessica White"/>
    <x v="52"/>
    <x v="1"/>
    <x v="13"/>
    <d v="2024-08-27T00:00:00"/>
    <x v="2"/>
    <x v="8"/>
    <n v="7803.54"/>
    <x v="5"/>
    <x v="1"/>
    <n v="7"/>
    <x v="1"/>
    <x v="8"/>
    <n v="2024"/>
  </r>
  <r>
    <x v="85"/>
    <s v="Betty Moore"/>
    <x v="33"/>
    <x v="1"/>
    <x v="76"/>
    <d v="2025-01-10T00:00:00"/>
    <x v="5"/>
    <x v="12"/>
    <n v="12412.35"/>
    <x v="3"/>
    <x v="2"/>
    <n v="8"/>
    <x v="0"/>
    <x v="17"/>
    <n v="2025"/>
  </r>
  <r>
    <x v="86"/>
    <s v="Ashley Smith"/>
    <x v="53"/>
    <x v="1"/>
    <x v="77"/>
    <d v="2025-11-30T00:00:00"/>
    <x v="1"/>
    <x v="32"/>
    <n v="2598.06"/>
    <x v="1"/>
    <x v="0"/>
    <n v="2"/>
    <x v="3"/>
    <x v="7"/>
    <n v="2025"/>
  </r>
  <r>
    <x v="87"/>
    <s v="Mark Moore"/>
    <x v="54"/>
    <x v="0"/>
    <x v="78"/>
    <d v="2025-03-11T00:00:00"/>
    <x v="2"/>
    <x v="21"/>
    <n v="9165.89"/>
    <x v="5"/>
    <x v="0"/>
    <n v="7"/>
    <x v="1"/>
    <x v="1"/>
    <n v="2025"/>
  </r>
  <r>
    <x v="88"/>
    <s v="Carol Hernandez"/>
    <x v="55"/>
    <x v="1"/>
    <x v="9"/>
    <d v="2025-08-07T00:00:00"/>
    <x v="1"/>
    <x v="2"/>
    <n v="2783.91"/>
    <x v="5"/>
    <x v="0"/>
    <n v="2"/>
    <x v="0"/>
    <x v="6"/>
    <n v="2025"/>
  </r>
  <r>
    <x v="89"/>
    <s v="Barbara Taylor"/>
    <x v="48"/>
    <x v="1"/>
    <x v="79"/>
    <d v="2025-01-31T00:00:00"/>
    <x v="0"/>
    <x v="1"/>
    <n v="23939.75"/>
    <x v="0"/>
    <x v="0"/>
    <n v="9"/>
    <x v="1"/>
    <x v="17"/>
    <n v="2025"/>
  </r>
  <r>
    <x v="90"/>
    <s v="Lisa Brown"/>
    <x v="55"/>
    <x v="1"/>
    <x v="80"/>
    <d v="2025-05-09T00:00:00"/>
    <x v="5"/>
    <x v="28"/>
    <n v="19244.54"/>
    <x v="1"/>
    <x v="0"/>
    <n v="8"/>
    <x v="0"/>
    <x v="13"/>
    <n v="2025"/>
  </r>
  <r>
    <x v="91"/>
    <s v="Barbara Walker"/>
    <x v="34"/>
    <x v="1"/>
    <x v="43"/>
    <d v="2024-07-26T00:00:00"/>
    <x v="0"/>
    <x v="0"/>
    <n v="17194.91"/>
    <x v="3"/>
    <x v="0"/>
    <n v="9"/>
    <x v="0"/>
    <x v="0"/>
    <n v="2024"/>
  </r>
  <r>
    <x v="92"/>
    <s v="Thomas Hernandez"/>
    <x v="1"/>
    <x v="0"/>
    <x v="81"/>
    <d v="2024-08-29T00:00:00"/>
    <x v="2"/>
    <x v="33"/>
    <n v="3707.77"/>
    <x v="1"/>
    <x v="0"/>
    <n v="3"/>
    <x v="0"/>
    <x v="8"/>
    <n v="2024"/>
  </r>
  <r>
    <x v="93"/>
    <s v="Sarah Young"/>
    <x v="1"/>
    <x v="1"/>
    <x v="82"/>
    <d v="2025-09-01T00:00:00"/>
    <x v="5"/>
    <x v="34"/>
    <n v="11445.42"/>
    <x v="1"/>
    <x v="1"/>
    <n v="6"/>
    <x v="0"/>
    <x v="6"/>
    <n v="2025"/>
  </r>
  <r>
    <x v="94"/>
    <s v="David Anderson"/>
    <x v="24"/>
    <x v="0"/>
    <x v="83"/>
    <d v="2025-04-30T00:00:00"/>
    <x v="2"/>
    <x v="4"/>
    <n v="1587.61"/>
    <x v="3"/>
    <x v="1"/>
    <n v="2"/>
    <x v="0"/>
    <x v="18"/>
    <n v="2025"/>
  </r>
  <r>
    <x v="95"/>
    <s v="Mark Thompson"/>
    <x v="29"/>
    <x v="0"/>
    <x v="84"/>
    <d v="2024-10-26T00:00:00"/>
    <x v="1"/>
    <x v="15"/>
    <n v="4946.29"/>
    <x v="1"/>
    <x v="0"/>
    <n v="2"/>
    <x v="2"/>
    <x v="3"/>
    <n v="2024"/>
  </r>
  <r>
    <x v="96"/>
    <s v="Daniel Garcia"/>
    <x v="56"/>
    <x v="0"/>
    <x v="85"/>
    <d v="2024-11-01T00:00:00"/>
    <x v="3"/>
    <x v="24"/>
    <n v="3757.58"/>
    <x v="1"/>
    <x v="0"/>
    <n v="3"/>
    <x v="4"/>
    <x v="3"/>
    <n v="2024"/>
  </r>
  <r>
    <x v="97"/>
    <s v="Michael Ramirez"/>
    <x v="28"/>
    <x v="0"/>
    <x v="86"/>
    <d v="2025-04-23T00:00:00"/>
    <x v="0"/>
    <x v="20"/>
    <n v="10173.43"/>
    <x v="5"/>
    <x v="2"/>
    <n v="5"/>
    <x v="0"/>
    <x v="18"/>
    <n v="2025"/>
  </r>
  <r>
    <x v="98"/>
    <s v="Linda Robinson"/>
    <x v="37"/>
    <x v="1"/>
    <x v="87"/>
    <d v="2024-12-25T00:00:00"/>
    <x v="3"/>
    <x v="24"/>
    <n v="4626.03"/>
    <x v="4"/>
    <x v="1"/>
    <n v="5"/>
    <x v="4"/>
    <x v="12"/>
    <n v="2024"/>
  </r>
  <r>
    <x v="99"/>
    <s v="Jennifer Martinez"/>
    <x v="57"/>
    <x v="1"/>
    <x v="88"/>
    <d v="2024-11-19T00:00:00"/>
    <x v="2"/>
    <x v="16"/>
    <n v="3159.6"/>
    <x v="1"/>
    <x v="0"/>
    <n v="3"/>
    <x v="2"/>
    <x v="4"/>
    <n v="2024"/>
  </r>
  <r>
    <x v="100"/>
    <s v="Matthew Williams"/>
    <x v="58"/>
    <x v="0"/>
    <x v="89"/>
    <d v="2024-02-07T00:00:00"/>
    <x v="1"/>
    <x v="7"/>
    <n v="6630.7"/>
    <x v="3"/>
    <x v="0"/>
    <n v="3"/>
    <x v="1"/>
    <x v="5"/>
    <n v="2024"/>
  </r>
  <r>
    <x v="101"/>
    <s v="Paul Robinson"/>
    <x v="38"/>
    <x v="0"/>
    <x v="90"/>
    <d v="2024-04-19T00:00:00"/>
    <x v="5"/>
    <x v="12"/>
    <n v="17220.650000000001"/>
    <x v="5"/>
    <x v="2"/>
    <n v="9"/>
    <x v="0"/>
    <x v="2"/>
    <n v="2024"/>
  </r>
  <r>
    <x v="102"/>
    <s v="David Walker"/>
    <x v="14"/>
    <x v="0"/>
    <x v="91"/>
    <d v="2024-03-01T00:00:00"/>
    <x v="4"/>
    <x v="18"/>
    <n v="13557.6"/>
    <x v="3"/>
    <x v="0"/>
    <n v="5"/>
    <x v="1"/>
    <x v="5"/>
    <n v="2024"/>
  </r>
  <r>
    <x v="103"/>
    <s v="Daniel White"/>
    <x v="38"/>
    <x v="0"/>
    <x v="92"/>
    <d v="2025-04-13T00:00:00"/>
    <x v="2"/>
    <x v="33"/>
    <n v="1460.86"/>
    <x v="5"/>
    <x v="2"/>
    <n v="2"/>
    <x v="0"/>
    <x v="18"/>
    <n v="2025"/>
  </r>
  <r>
    <x v="104"/>
    <s v="Daniel Walker"/>
    <x v="0"/>
    <x v="0"/>
    <x v="93"/>
    <d v="2025-01-15T00:00:00"/>
    <x v="5"/>
    <x v="34"/>
    <n v="5152.58"/>
    <x v="2"/>
    <x v="0"/>
    <n v="3"/>
    <x v="0"/>
    <x v="17"/>
    <n v="2025"/>
  </r>
  <r>
    <x v="105"/>
    <s v="Lisa Anderson"/>
    <x v="35"/>
    <x v="1"/>
    <x v="94"/>
    <d v="2025-07-28T00:00:00"/>
    <x v="1"/>
    <x v="3"/>
    <n v="954.61"/>
    <x v="3"/>
    <x v="0"/>
    <n v="1"/>
    <x v="3"/>
    <x v="22"/>
    <n v="2025"/>
  </r>
  <r>
    <x v="106"/>
    <s v="Steven Clark"/>
    <x v="8"/>
    <x v="0"/>
    <x v="95"/>
    <d v="2025-02-21T00:00:00"/>
    <x v="0"/>
    <x v="20"/>
    <n v="11951.45"/>
    <x v="6"/>
    <x v="0"/>
    <n v="6"/>
    <x v="0"/>
    <x v="10"/>
    <n v="2025"/>
  </r>
  <r>
    <x v="107"/>
    <s v="Daniel Anderson"/>
    <x v="59"/>
    <x v="0"/>
    <x v="96"/>
    <d v="2024-04-11T00:00:00"/>
    <x v="3"/>
    <x v="24"/>
    <n v="3169.16"/>
    <x v="0"/>
    <x v="1"/>
    <n v="2"/>
    <x v="4"/>
    <x v="2"/>
    <n v="2024"/>
  </r>
  <r>
    <x v="108"/>
    <s v="William Brown"/>
    <x v="55"/>
    <x v="0"/>
    <x v="97"/>
    <d v="2025-05-08T00:00:00"/>
    <x v="2"/>
    <x v="16"/>
    <n v="1178.75"/>
    <x v="5"/>
    <x v="0"/>
    <n v="1"/>
    <x v="0"/>
    <x v="13"/>
    <n v="2025"/>
  </r>
  <r>
    <x v="109"/>
    <s v="Christopher Davis"/>
    <x v="26"/>
    <x v="0"/>
    <x v="98"/>
    <d v="2024-04-23T00:00:00"/>
    <x v="1"/>
    <x v="2"/>
    <n v="4895.09"/>
    <x v="4"/>
    <x v="2"/>
    <n v="3"/>
    <x v="1"/>
    <x v="2"/>
    <n v="2024"/>
  </r>
  <r>
    <x v="110"/>
    <s v="Joseph Williams"/>
    <x v="59"/>
    <x v="0"/>
    <x v="99"/>
    <d v="2024-10-16T00:00:00"/>
    <x v="3"/>
    <x v="22"/>
    <n v="819.61"/>
    <x v="1"/>
    <x v="0"/>
    <n v="1"/>
    <x v="4"/>
    <x v="3"/>
    <n v="2024"/>
  </r>
  <r>
    <x v="111"/>
    <s v="Sandra Jackson"/>
    <x v="11"/>
    <x v="1"/>
    <x v="100"/>
    <d v="2024-12-06T00:00:00"/>
    <x v="1"/>
    <x v="2"/>
    <n v="2899.4"/>
    <x v="5"/>
    <x v="1"/>
    <n v="2"/>
    <x v="3"/>
    <x v="12"/>
    <n v="2024"/>
  </r>
  <r>
    <x v="112"/>
    <s v="Sandra Moore"/>
    <x v="30"/>
    <x v="1"/>
    <x v="101"/>
    <d v="2024-01-07T00:00:00"/>
    <x v="3"/>
    <x v="24"/>
    <n v="2638.05"/>
    <x v="3"/>
    <x v="1"/>
    <n v="2"/>
    <x v="4"/>
    <x v="23"/>
    <n v="2024"/>
  </r>
  <r>
    <x v="113"/>
    <s v="Karen Anderson"/>
    <x v="60"/>
    <x v="1"/>
    <x v="102"/>
    <d v="2024-05-11T00:00:00"/>
    <x v="1"/>
    <x v="3"/>
    <n v="6176.26"/>
    <x v="5"/>
    <x v="1"/>
    <n v="3"/>
    <x v="2"/>
    <x v="11"/>
    <n v="2024"/>
  </r>
  <r>
    <x v="114"/>
    <s v="Paul Lopez"/>
    <x v="3"/>
    <x v="0"/>
    <x v="103"/>
    <d v="2025-09-15T00:00:00"/>
    <x v="4"/>
    <x v="27"/>
    <n v="4035.23"/>
    <x v="1"/>
    <x v="0"/>
    <n v="3"/>
    <x v="2"/>
    <x v="20"/>
    <n v="2025"/>
  </r>
  <r>
    <x v="115"/>
    <s v="Lisa Johnson"/>
    <x v="19"/>
    <x v="1"/>
    <x v="104"/>
    <d v="2024-03-28T00:00:00"/>
    <x v="2"/>
    <x v="16"/>
    <n v="1068.76"/>
    <x v="1"/>
    <x v="0"/>
    <n v="2"/>
    <x v="3"/>
    <x v="15"/>
    <n v="2024"/>
  </r>
  <r>
    <x v="116"/>
    <s v="Kenneth Garcia"/>
    <x v="61"/>
    <x v="0"/>
    <x v="105"/>
    <d v="2024-06-20T00:00:00"/>
    <x v="1"/>
    <x v="32"/>
    <n v="2606.79"/>
    <x v="5"/>
    <x v="1"/>
    <n v="3"/>
    <x v="3"/>
    <x v="16"/>
    <n v="2024"/>
  </r>
  <r>
    <x v="117"/>
    <s v="Emily Williams"/>
    <x v="59"/>
    <x v="1"/>
    <x v="106"/>
    <d v="2025-06-15T00:00:00"/>
    <x v="3"/>
    <x v="9"/>
    <n v="2856.34"/>
    <x v="6"/>
    <x v="1"/>
    <n v="2"/>
    <x v="4"/>
    <x v="19"/>
    <n v="2025"/>
  </r>
  <r>
    <x v="118"/>
    <s v="Sandra Young"/>
    <x v="47"/>
    <x v="1"/>
    <x v="107"/>
    <d v="2024-07-13T00:00:00"/>
    <x v="4"/>
    <x v="18"/>
    <n v="13136.54"/>
    <x v="6"/>
    <x v="1"/>
    <n v="8"/>
    <x v="3"/>
    <x v="0"/>
    <n v="2024"/>
  </r>
  <r>
    <x v="119"/>
    <s v="Robert Moore"/>
    <x v="29"/>
    <x v="0"/>
    <x v="108"/>
    <d v="2025-09-15T00:00:00"/>
    <x v="4"/>
    <x v="14"/>
    <n v="10441.879999999999"/>
    <x v="5"/>
    <x v="1"/>
    <n v="6"/>
    <x v="2"/>
    <x v="20"/>
    <n v="2025"/>
  </r>
  <r>
    <x v="120"/>
    <s v="Kenneth Perez"/>
    <x v="53"/>
    <x v="0"/>
    <x v="109"/>
    <d v="2024-09-01T00:00:00"/>
    <x v="2"/>
    <x v="4"/>
    <n v="8804.17"/>
    <x v="5"/>
    <x v="1"/>
    <n v="7"/>
    <x v="3"/>
    <x v="8"/>
    <n v="2024"/>
  </r>
  <r>
    <x v="121"/>
    <s v="Kevin Lewis"/>
    <x v="31"/>
    <x v="0"/>
    <x v="110"/>
    <d v="2024-05-26T00:00:00"/>
    <x v="3"/>
    <x v="25"/>
    <n v="8692.2099999999991"/>
    <x v="1"/>
    <x v="1"/>
    <n v="5"/>
    <x v="4"/>
    <x v="11"/>
    <n v="2024"/>
  </r>
  <r>
    <x v="122"/>
    <s v="Christopher Lewis"/>
    <x v="41"/>
    <x v="0"/>
    <x v="111"/>
    <d v="2024-11-10T00:00:00"/>
    <x v="0"/>
    <x v="0"/>
    <n v="8942.35"/>
    <x v="2"/>
    <x v="0"/>
    <n v="5"/>
    <x v="1"/>
    <x v="4"/>
    <n v="2024"/>
  </r>
  <r>
    <x v="123"/>
    <s v="Kenneth Williams"/>
    <x v="8"/>
    <x v="0"/>
    <x v="112"/>
    <d v="2025-05-19T00:00:00"/>
    <x v="5"/>
    <x v="35"/>
    <n v="17584.490000000002"/>
    <x v="6"/>
    <x v="2"/>
    <n v="10"/>
    <x v="0"/>
    <x v="13"/>
    <n v="2025"/>
  </r>
  <r>
    <x v="124"/>
    <s v="Betty Walker"/>
    <x v="62"/>
    <x v="1"/>
    <x v="113"/>
    <d v="2024-04-18T00:00:00"/>
    <x v="1"/>
    <x v="31"/>
    <n v="1921.25"/>
    <x v="4"/>
    <x v="2"/>
    <n v="1"/>
    <x v="1"/>
    <x v="2"/>
    <n v="2024"/>
  </r>
  <r>
    <x v="125"/>
    <s v="Linda Walker"/>
    <x v="63"/>
    <x v="1"/>
    <x v="114"/>
    <d v="2024-08-14T00:00:00"/>
    <x v="5"/>
    <x v="35"/>
    <n v="6966.69"/>
    <x v="5"/>
    <x v="1"/>
    <n v="3"/>
    <x v="3"/>
    <x v="8"/>
    <n v="2024"/>
  </r>
  <r>
    <x v="126"/>
    <s v="Sarah Davis"/>
    <x v="30"/>
    <x v="1"/>
    <x v="115"/>
    <d v="2024-04-12T00:00:00"/>
    <x v="3"/>
    <x v="25"/>
    <n v="5715.35"/>
    <x v="5"/>
    <x v="0"/>
    <n v="4"/>
    <x v="4"/>
    <x v="2"/>
    <n v="2024"/>
  </r>
  <r>
    <x v="127"/>
    <s v="Jennifer Clark"/>
    <x v="47"/>
    <x v="1"/>
    <x v="116"/>
    <d v="2025-10-09T00:00:00"/>
    <x v="1"/>
    <x v="31"/>
    <n v="4210.91"/>
    <x v="3"/>
    <x v="0"/>
    <n v="3"/>
    <x v="3"/>
    <x v="14"/>
    <n v="2025"/>
  </r>
  <r>
    <x v="128"/>
    <s v="Sarah Hernandez"/>
    <x v="1"/>
    <x v="1"/>
    <x v="117"/>
    <d v="2024-03-09T00:00:00"/>
    <x v="0"/>
    <x v="1"/>
    <n v="11082.93"/>
    <x v="4"/>
    <x v="1"/>
    <n v="7"/>
    <x v="0"/>
    <x v="15"/>
    <n v="2024"/>
  </r>
  <r>
    <x v="129"/>
    <s v="Elizabeth Garcia"/>
    <x v="49"/>
    <x v="1"/>
    <x v="118"/>
    <d v="2024-12-04T00:00:00"/>
    <x v="2"/>
    <x v="10"/>
    <n v="6234.49"/>
    <x v="6"/>
    <x v="1"/>
    <n v="5"/>
    <x v="2"/>
    <x v="4"/>
    <n v="2024"/>
  </r>
  <r>
    <x v="130"/>
    <s v="Karen Moore"/>
    <x v="4"/>
    <x v="1"/>
    <x v="119"/>
    <d v="2025-05-26T00:00:00"/>
    <x v="5"/>
    <x v="35"/>
    <n v="17644.05"/>
    <x v="0"/>
    <x v="0"/>
    <n v="10"/>
    <x v="1"/>
    <x v="13"/>
    <n v="2025"/>
  </r>
  <r>
    <x v="131"/>
    <s v="James Davis"/>
    <x v="64"/>
    <x v="0"/>
    <x v="120"/>
    <d v="2024-10-31T00:00:00"/>
    <x v="5"/>
    <x v="12"/>
    <n v="11838.97"/>
    <x v="5"/>
    <x v="2"/>
    <n v="9"/>
    <x v="1"/>
    <x v="3"/>
    <n v="2024"/>
  </r>
  <r>
    <x v="132"/>
    <s v="Joshua Martin"/>
    <x v="65"/>
    <x v="0"/>
    <x v="84"/>
    <d v="2024-10-27T00:00:00"/>
    <x v="3"/>
    <x v="24"/>
    <n v="2139.13"/>
    <x v="3"/>
    <x v="2"/>
    <n v="3"/>
    <x v="4"/>
    <x v="3"/>
    <n v="2024"/>
  </r>
  <r>
    <x v="133"/>
    <s v="Susan White"/>
    <x v="47"/>
    <x v="1"/>
    <x v="64"/>
    <d v="2024-05-31T00:00:00"/>
    <x v="0"/>
    <x v="6"/>
    <n v="10657.18"/>
    <x v="6"/>
    <x v="0"/>
    <n v="7"/>
    <x v="3"/>
    <x v="11"/>
    <n v="2024"/>
  </r>
  <r>
    <x v="134"/>
    <s v="Jessica Harris"/>
    <x v="46"/>
    <x v="1"/>
    <x v="121"/>
    <d v="2025-09-05T00:00:00"/>
    <x v="0"/>
    <x v="29"/>
    <n v="17707.36"/>
    <x v="3"/>
    <x v="0"/>
    <n v="6"/>
    <x v="1"/>
    <x v="6"/>
    <n v="2025"/>
  </r>
  <r>
    <x v="135"/>
    <s v="James Brown"/>
    <x v="0"/>
    <x v="0"/>
    <x v="122"/>
    <d v="2024-12-06T00:00:00"/>
    <x v="4"/>
    <x v="18"/>
    <n v="31874.83"/>
    <x v="3"/>
    <x v="1"/>
    <n v="13"/>
    <x v="0"/>
    <x v="4"/>
    <n v="2024"/>
  </r>
  <r>
    <x v="136"/>
    <s v="Jessica Lopez"/>
    <x v="33"/>
    <x v="1"/>
    <x v="123"/>
    <d v="2024-06-21T00:00:00"/>
    <x v="2"/>
    <x v="10"/>
    <n v="5681.44"/>
    <x v="5"/>
    <x v="0"/>
    <n v="6"/>
    <x v="0"/>
    <x v="16"/>
    <n v="2024"/>
  </r>
  <r>
    <x v="137"/>
    <s v="Mary Robinson"/>
    <x v="23"/>
    <x v="1"/>
    <x v="124"/>
    <d v="2025-07-10T00:00:00"/>
    <x v="0"/>
    <x v="0"/>
    <n v="17588.68"/>
    <x v="3"/>
    <x v="0"/>
    <n v="7"/>
    <x v="0"/>
    <x v="22"/>
    <n v="2025"/>
  </r>
  <r>
    <x v="138"/>
    <s v="Matthew Davis"/>
    <x v="23"/>
    <x v="0"/>
    <x v="125"/>
    <d v="2025-04-04T00:00:00"/>
    <x v="2"/>
    <x v="33"/>
    <n v="1113.6199999999999"/>
    <x v="1"/>
    <x v="0"/>
    <n v="2"/>
    <x v="0"/>
    <x v="18"/>
    <n v="2025"/>
  </r>
  <r>
    <x v="139"/>
    <s v="Christopher Wilson"/>
    <x v="34"/>
    <x v="0"/>
    <x v="126"/>
    <d v="2024-06-27T00:00:00"/>
    <x v="2"/>
    <x v="33"/>
    <n v="3222.62"/>
    <x v="3"/>
    <x v="1"/>
    <n v="5"/>
    <x v="0"/>
    <x v="16"/>
    <n v="2024"/>
  </r>
  <r>
    <x v="140"/>
    <s v="Karen Williams"/>
    <x v="5"/>
    <x v="1"/>
    <x v="127"/>
    <d v="2024-07-13T00:00:00"/>
    <x v="2"/>
    <x v="4"/>
    <n v="4276.67"/>
    <x v="4"/>
    <x v="0"/>
    <n v="5"/>
    <x v="0"/>
    <x v="0"/>
    <n v="2024"/>
  </r>
  <r>
    <x v="141"/>
    <s v="Jennifer Smith"/>
    <x v="35"/>
    <x v="1"/>
    <x v="128"/>
    <d v="2025-04-11T00:00:00"/>
    <x v="2"/>
    <x v="10"/>
    <n v="2378.61"/>
    <x v="5"/>
    <x v="0"/>
    <n v="4"/>
    <x v="3"/>
    <x v="18"/>
    <n v="2025"/>
  </r>
  <r>
    <x v="142"/>
    <s v="Matthew Garcia"/>
    <x v="24"/>
    <x v="0"/>
    <x v="129"/>
    <d v="2024-01-05T00:00:00"/>
    <x v="1"/>
    <x v="36"/>
    <n v="1802.47"/>
    <x v="5"/>
    <x v="2"/>
    <n v="1"/>
    <x v="0"/>
    <x v="23"/>
    <n v="2024"/>
  </r>
  <r>
    <x v="143"/>
    <s v="Michelle Thomas"/>
    <x v="40"/>
    <x v="1"/>
    <x v="130"/>
    <d v="2024-05-11T00:00:00"/>
    <x v="0"/>
    <x v="29"/>
    <n v="26472.01"/>
    <x v="0"/>
    <x v="2"/>
    <n v="9"/>
    <x v="0"/>
    <x v="11"/>
    <n v="2024"/>
  </r>
  <r>
    <x v="144"/>
    <s v="Robert Miller"/>
    <x v="49"/>
    <x v="0"/>
    <x v="131"/>
    <d v="2025-08-01T00:00:00"/>
    <x v="5"/>
    <x v="35"/>
    <n v="15209.42"/>
    <x v="1"/>
    <x v="1"/>
    <n v="9"/>
    <x v="2"/>
    <x v="22"/>
    <n v="2025"/>
  </r>
  <r>
    <x v="145"/>
    <s v="Lisa Rodriguez"/>
    <x v="36"/>
    <x v="1"/>
    <x v="132"/>
    <d v="2025-07-12T00:00:00"/>
    <x v="2"/>
    <x v="10"/>
    <n v="683.93"/>
    <x v="2"/>
    <x v="1"/>
    <n v="1"/>
    <x v="0"/>
    <x v="22"/>
    <n v="2025"/>
  </r>
  <r>
    <x v="146"/>
    <s v="Barbara Wilson"/>
    <x v="41"/>
    <x v="1"/>
    <x v="133"/>
    <d v="2024-04-04T00:00:00"/>
    <x v="2"/>
    <x v="16"/>
    <n v="2163.62"/>
    <x v="0"/>
    <x v="0"/>
    <n v="4"/>
    <x v="1"/>
    <x v="15"/>
    <n v="2024"/>
  </r>
  <r>
    <x v="147"/>
    <s v="Barbara Jones"/>
    <x v="57"/>
    <x v="1"/>
    <x v="134"/>
    <d v="2025-09-07T00:00:00"/>
    <x v="1"/>
    <x v="15"/>
    <n v="7033.75"/>
    <x v="3"/>
    <x v="0"/>
    <n v="3"/>
    <x v="2"/>
    <x v="20"/>
    <n v="2025"/>
  </r>
  <r>
    <x v="148"/>
    <s v="Lisa Williams"/>
    <x v="0"/>
    <x v="1"/>
    <x v="135"/>
    <d v="2024-12-26T00:00:00"/>
    <x v="0"/>
    <x v="19"/>
    <n v="9216.99"/>
    <x v="6"/>
    <x v="0"/>
    <n v="5"/>
    <x v="0"/>
    <x v="12"/>
    <n v="2024"/>
  </r>
  <r>
    <x v="149"/>
    <s v="Jennifer Young"/>
    <x v="29"/>
    <x v="1"/>
    <x v="80"/>
    <d v="2025-05-03T00:00:00"/>
    <x v="2"/>
    <x v="10"/>
    <n v="1561.35"/>
    <x v="3"/>
    <x v="2"/>
    <n v="2"/>
    <x v="2"/>
    <x v="13"/>
    <n v="2025"/>
  </r>
  <r>
    <x v="150"/>
    <s v="Karen Smith"/>
    <x v="63"/>
    <x v="1"/>
    <x v="132"/>
    <d v="2025-07-20T00:00:00"/>
    <x v="0"/>
    <x v="0"/>
    <n v="24856.18"/>
    <x v="6"/>
    <x v="0"/>
    <n v="9"/>
    <x v="3"/>
    <x v="22"/>
    <n v="2025"/>
  </r>
  <r>
    <x v="151"/>
    <s v="Mark Smith"/>
    <x v="42"/>
    <x v="0"/>
    <x v="136"/>
    <d v="2025-05-24T00:00:00"/>
    <x v="1"/>
    <x v="15"/>
    <n v="2493.0500000000002"/>
    <x v="3"/>
    <x v="0"/>
    <n v="2"/>
    <x v="3"/>
    <x v="13"/>
    <n v="2025"/>
  </r>
  <r>
    <x v="152"/>
    <s v="Andrew Martinez"/>
    <x v="27"/>
    <x v="0"/>
    <x v="137"/>
    <d v="2024-04-21T00:00:00"/>
    <x v="1"/>
    <x v="7"/>
    <n v="5177.47"/>
    <x v="0"/>
    <x v="0"/>
    <n v="3"/>
    <x v="3"/>
    <x v="2"/>
    <n v="2024"/>
  </r>
  <r>
    <x v="153"/>
    <s v="Betty Williams"/>
    <x v="66"/>
    <x v="1"/>
    <x v="138"/>
    <d v="2025-04-06T00:00:00"/>
    <x v="4"/>
    <x v="13"/>
    <n v="12122.8"/>
    <x v="1"/>
    <x v="0"/>
    <n v="8"/>
    <x v="1"/>
    <x v="1"/>
    <n v="2025"/>
  </r>
  <r>
    <x v="154"/>
    <s v="Robert Jones"/>
    <x v="47"/>
    <x v="0"/>
    <x v="139"/>
    <d v="2024-09-11T00:00:00"/>
    <x v="5"/>
    <x v="28"/>
    <n v="6625.48"/>
    <x v="0"/>
    <x v="2"/>
    <n v="4"/>
    <x v="3"/>
    <x v="21"/>
    <n v="2024"/>
  </r>
  <r>
    <x v="155"/>
    <s v="David Jones"/>
    <x v="67"/>
    <x v="0"/>
    <x v="140"/>
    <d v="2024-08-01T00:00:00"/>
    <x v="4"/>
    <x v="14"/>
    <n v="17423.45"/>
    <x v="5"/>
    <x v="2"/>
    <n v="9"/>
    <x v="1"/>
    <x v="0"/>
    <n v="2024"/>
  </r>
  <r>
    <x v="156"/>
    <s v="Richard Ramirez"/>
    <x v="4"/>
    <x v="0"/>
    <x v="141"/>
    <d v="2024-07-05T00:00:00"/>
    <x v="0"/>
    <x v="1"/>
    <n v="13753.53"/>
    <x v="3"/>
    <x v="1"/>
    <n v="9"/>
    <x v="1"/>
    <x v="16"/>
    <n v="2024"/>
  </r>
  <r>
    <x v="157"/>
    <s v="Matthew Williams"/>
    <x v="22"/>
    <x v="0"/>
    <x v="142"/>
    <d v="2025-10-06T00:00:00"/>
    <x v="0"/>
    <x v="0"/>
    <n v="18100.37"/>
    <x v="1"/>
    <x v="0"/>
    <n v="10"/>
    <x v="3"/>
    <x v="20"/>
    <n v="2025"/>
  </r>
  <r>
    <x v="158"/>
    <s v="Linda Brown"/>
    <x v="47"/>
    <x v="1"/>
    <x v="143"/>
    <d v="2024-09-12T00:00:00"/>
    <x v="4"/>
    <x v="26"/>
    <n v="16172.66"/>
    <x v="5"/>
    <x v="1"/>
    <n v="7"/>
    <x v="3"/>
    <x v="21"/>
    <n v="2024"/>
  </r>
  <r>
    <x v="159"/>
    <s v="Carol Thompson"/>
    <x v="42"/>
    <x v="1"/>
    <x v="144"/>
    <d v="2024-08-17T00:00:00"/>
    <x v="2"/>
    <x v="8"/>
    <n v="7133.08"/>
    <x v="3"/>
    <x v="1"/>
    <n v="7"/>
    <x v="3"/>
    <x v="8"/>
    <n v="2024"/>
  </r>
  <r>
    <x v="160"/>
    <s v="Joseph Jackson"/>
    <x v="47"/>
    <x v="0"/>
    <x v="66"/>
    <d v="2026-01-01T00:00:00"/>
    <x v="0"/>
    <x v="0"/>
    <n v="27699.3"/>
    <x v="4"/>
    <x v="1"/>
    <n v="10"/>
    <x v="3"/>
    <x v="9"/>
    <n v="2025"/>
  </r>
  <r>
    <x v="161"/>
    <s v="Richard Rodriguez"/>
    <x v="41"/>
    <x v="0"/>
    <x v="145"/>
    <d v="2024-07-03T00:00:00"/>
    <x v="1"/>
    <x v="2"/>
    <n v="1403.37"/>
    <x v="1"/>
    <x v="1"/>
    <n v="1"/>
    <x v="1"/>
    <x v="0"/>
    <n v="2024"/>
  </r>
  <r>
    <x v="162"/>
    <s v="Karen Smith"/>
    <x v="26"/>
    <x v="1"/>
    <x v="146"/>
    <d v="2024-05-08T00:00:00"/>
    <x v="1"/>
    <x v="31"/>
    <n v="3350.67"/>
    <x v="1"/>
    <x v="1"/>
    <n v="3"/>
    <x v="1"/>
    <x v="11"/>
    <n v="2024"/>
  </r>
  <r>
    <x v="163"/>
    <s v="Elizabeth Williams"/>
    <x v="24"/>
    <x v="1"/>
    <x v="147"/>
    <d v="2024-02-04T00:00:00"/>
    <x v="1"/>
    <x v="31"/>
    <n v="2922.92"/>
    <x v="6"/>
    <x v="1"/>
    <n v="2"/>
    <x v="0"/>
    <x v="5"/>
    <n v="2024"/>
  </r>
  <r>
    <x v="164"/>
    <s v="Lisa Garcia"/>
    <x v="13"/>
    <x v="1"/>
    <x v="148"/>
    <d v="2024-11-23T00:00:00"/>
    <x v="1"/>
    <x v="31"/>
    <n v="2127.71"/>
    <x v="3"/>
    <x v="2"/>
    <n v="2"/>
    <x v="1"/>
    <x v="4"/>
    <n v="2024"/>
  </r>
  <r>
    <x v="165"/>
    <s v="Ashley Smith"/>
    <x v="66"/>
    <x v="1"/>
    <x v="149"/>
    <d v="2025-09-22T00:00:00"/>
    <x v="0"/>
    <x v="29"/>
    <n v="15507.09"/>
    <x v="3"/>
    <x v="0"/>
    <n v="9"/>
    <x v="1"/>
    <x v="20"/>
    <n v="2025"/>
  </r>
  <r>
    <x v="166"/>
    <s v="Steven Thomas"/>
    <x v="68"/>
    <x v="0"/>
    <x v="150"/>
    <d v="2025-08-17T00:00:00"/>
    <x v="3"/>
    <x v="37"/>
    <n v="2767.57"/>
    <x v="4"/>
    <x v="0"/>
    <n v="2"/>
    <x v="4"/>
    <x v="6"/>
    <n v="2025"/>
  </r>
  <r>
    <x v="167"/>
    <s v="Ashley Wilson"/>
    <x v="2"/>
    <x v="1"/>
    <x v="151"/>
    <d v="2025-08-01T00:00:00"/>
    <x v="1"/>
    <x v="2"/>
    <n v="1998.09"/>
    <x v="1"/>
    <x v="0"/>
    <n v="1"/>
    <x v="1"/>
    <x v="22"/>
    <n v="2025"/>
  </r>
  <r>
    <x v="168"/>
    <s v="Carol Garcia"/>
    <x v="43"/>
    <x v="1"/>
    <x v="70"/>
    <d v="2025-04-06T00:00:00"/>
    <x v="3"/>
    <x v="25"/>
    <n v="6351.72"/>
    <x v="0"/>
    <x v="0"/>
    <n v="5"/>
    <x v="4"/>
    <x v="18"/>
    <n v="2025"/>
  </r>
  <r>
    <x v="169"/>
    <s v="Richard Williams"/>
    <x v="44"/>
    <x v="0"/>
    <x v="152"/>
    <d v="2025-02-11T00:00:00"/>
    <x v="1"/>
    <x v="7"/>
    <n v="2177.35"/>
    <x v="1"/>
    <x v="0"/>
    <n v="2"/>
    <x v="3"/>
    <x v="10"/>
    <n v="2025"/>
  </r>
  <r>
    <x v="170"/>
    <s v="Mary Martin"/>
    <x v="24"/>
    <x v="1"/>
    <x v="153"/>
    <d v="2025-06-15T00:00:00"/>
    <x v="0"/>
    <x v="1"/>
    <n v="4484.95"/>
    <x v="1"/>
    <x v="0"/>
    <n v="3"/>
    <x v="0"/>
    <x v="19"/>
    <n v="2025"/>
  </r>
  <r>
    <x v="171"/>
    <s v="Richard Jones"/>
    <x v="16"/>
    <x v="0"/>
    <x v="154"/>
    <d v="2024-08-30T00:00:00"/>
    <x v="1"/>
    <x v="32"/>
    <n v="3381.88"/>
    <x v="3"/>
    <x v="0"/>
    <n v="2"/>
    <x v="1"/>
    <x v="8"/>
    <n v="2024"/>
  </r>
  <r>
    <x v="172"/>
    <s v="Brian Taylor"/>
    <x v="34"/>
    <x v="0"/>
    <x v="155"/>
    <d v="2025-06-28T00:00:00"/>
    <x v="4"/>
    <x v="18"/>
    <n v="11601.6"/>
    <x v="5"/>
    <x v="1"/>
    <n v="5"/>
    <x v="0"/>
    <x v="19"/>
    <n v="2025"/>
  </r>
  <r>
    <x v="173"/>
    <s v="Jessica Hernandez"/>
    <x v="2"/>
    <x v="1"/>
    <x v="156"/>
    <d v="2025-03-03T00:00:00"/>
    <x v="1"/>
    <x v="2"/>
    <n v="2198.17"/>
    <x v="3"/>
    <x v="0"/>
    <n v="2"/>
    <x v="1"/>
    <x v="1"/>
    <n v="2025"/>
  </r>
  <r>
    <x v="174"/>
    <s v="Emily Robinson"/>
    <x v="51"/>
    <x v="1"/>
    <x v="157"/>
    <d v="2025-10-17T00:00:00"/>
    <x v="4"/>
    <x v="13"/>
    <n v="35611.43"/>
    <x v="5"/>
    <x v="0"/>
    <n v="13"/>
    <x v="2"/>
    <x v="14"/>
    <n v="2025"/>
  </r>
  <r>
    <x v="175"/>
    <s v="Christopher White"/>
    <x v="55"/>
    <x v="0"/>
    <x v="32"/>
    <d v="2025-05-26T00:00:00"/>
    <x v="0"/>
    <x v="20"/>
    <n v="8093.35"/>
    <x v="6"/>
    <x v="2"/>
    <n v="5"/>
    <x v="0"/>
    <x v="13"/>
    <n v="2025"/>
  </r>
  <r>
    <x v="176"/>
    <s v="James White"/>
    <x v="26"/>
    <x v="0"/>
    <x v="158"/>
    <d v="2024-02-19T00:00:00"/>
    <x v="5"/>
    <x v="34"/>
    <n v="15311.93"/>
    <x v="0"/>
    <x v="1"/>
    <n v="8"/>
    <x v="1"/>
    <x v="5"/>
    <n v="2024"/>
  </r>
  <r>
    <x v="177"/>
    <s v="Lisa Thompson"/>
    <x v="8"/>
    <x v="1"/>
    <x v="50"/>
    <d v="2024-10-13T00:00:00"/>
    <x v="1"/>
    <x v="2"/>
    <n v="4201.93"/>
    <x v="1"/>
    <x v="0"/>
    <n v="3"/>
    <x v="0"/>
    <x v="3"/>
    <n v="2024"/>
  </r>
  <r>
    <x v="178"/>
    <s v="Ashley Walker"/>
    <x v="38"/>
    <x v="1"/>
    <x v="159"/>
    <d v="2025-11-07T00:00:00"/>
    <x v="4"/>
    <x v="27"/>
    <n v="12277.27"/>
    <x v="3"/>
    <x v="0"/>
    <n v="9"/>
    <x v="0"/>
    <x v="14"/>
    <n v="2025"/>
  </r>
  <r>
    <x v="179"/>
    <s v="Jessica Ramirez"/>
    <x v="9"/>
    <x v="1"/>
    <x v="160"/>
    <d v="2025-05-12T00:00:00"/>
    <x v="3"/>
    <x v="24"/>
    <n v="4150.83"/>
    <x v="5"/>
    <x v="1"/>
    <n v="4"/>
    <x v="4"/>
    <x v="13"/>
    <n v="2025"/>
  </r>
  <r>
    <x v="180"/>
    <s v="Daniel Jackson"/>
    <x v="69"/>
    <x v="0"/>
    <x v="161"/>
    <d v="2024-01-12T00:00:00"/>
    <x v="2"/>
    <x v="33"/>
    <n v="2123.81"/>
    <x v="6"/>
    <x v="0"/>
    <n v="3"/>
    <x v="2"/>
    <x v="23"/>
    <n v="2024"/>
  </r>
  <r>
    <x v="181"/>
    <s v="Emily Clark"/>
    <x v="70"/>
    <x v="1"/>
    <x v="162"/>
    <d v="2025-02-03T00:00:00"/>
    <x v="4"/>
    <x v="14"/>
    <n v="29767.07"/>
    <x v="1"/>
    <x v="1"/>
    <n v="13"/>
    <x v="0"/>
    <x v="17"/>
    <n v="2025"/>
  </r>
  <r>
    <x v="182"/>
    <s v="David White"/>
    <x v="71"/>
    <x v="0"/>
    <x v="163"/>
    <d v="2025-06-22T00:00:00"/>
    <x v="3"/>
    <x v="22"/>
    <n v="5537.93"/>
    <x v="3"/>
    <x v="0"/>
    <n v="5"/>
    <x v="4"/>
    <x v="19"/>
    <n v="2025"/>
  </r>
  <r>
    <x v="183"/>
    <s v="Joshua Garcia"/>
    <x v="41"/>
    <x v="0"/>
    <x v="164"/>
    <d v="2025-08-28T00:00:00"/>
    <x v="2"/>
    <x v="5"/>
    <n v="7949.08"/>
    <x v="0"/>
    <x v="0"/>
    <n v="6"/>
    <x v="1"/>
    <x v="6"/>
    <n v="2025"/>
  </r>
  <r>
    <x v="184"/>
    <s v="Robert Lewis"/>
    <x v="68"/>
    <x v="0"/>
    <x v="165"/>
    <d v="2024-12-29T00:00:00"/>
    <x v="3"/>
    <x v="24"/>
    <n v="6607.88"/>
    <x v="5"/>
    <x v="0"/>
    <n v="4"/>
    <x v="4"/>
    <x v="12"/>
    <n v="2024"/>
  </r>
  <r>
    <x v="185"/>
    <s v="Susan Thomas"/>
    <x v="72"/>
    <x v="1"/>
    <x v="166"/>
    <d v="2024-09-16T00:00:00"/>
    <x v="3"/>
    <x v="23"/>
    <n v="4728.71"/>
    <x v="4"/>
    <x v="0"/>
    <n v="3"/>
    <x v="4"/>
    <x v="21"/>
    <n v="2024"/>
  </r>
  <r>
    <x v="186"/>
    <s v="Barbara White"/>
    <x v="46"/>
    <x v="1"/>
    <x v="167"/>
    <d v="2024-03-09T00:00:00"/>
    <x v="0"/>
    <x v="1"/>
    <n v="15664.73"/>
    <x v="1"/>
    <x v="0"/>
    <n v="8"/>
    <x v="1"/>
    <x v="15"/>
    <n v="2024"/>
  </r>
  <r>
    <x v="187"/>
    <s v="Betty Clark"/>
    <x v="5"/>
    <x v="1"/>
    <x v="168"/>
    <d v="2025-10-25T00:00:00"/>
    <x v="2"/>
    <x v="33"/>
    <n v="2716.52"/>
    <x v="2"/>
    <x v="2"/>
    <n v="4"/>
    <x v="0"/>
    <x v="14"/>
    <n v="2025"/>
  </r>
  <r>
    <x v="188"/>
    <s v="Susan Miller"/>
    <x v="3"/>
    <x v="1"/>
    <x v="38"/>
    <d v="2024-12-18T00:00:00"/>
    <x v="2"/>
    <x v="21"/>
    <n v="716.18"/>
    <x v="1"/>
    <x v="0"/>
    <n v="1"/>
    <x v="2"/>
    <x v="12"/>
    <n v="2024"/>
  </r>
  <r>
    <x v="189"/>
    <s v="Jennifer Young"/>
    <x v="27"/>
    <x v="1"/>
    <x v="169"/>
    <d v="2025-03-25T00:00:00"/>
    <x v="5"/>
    <x v="28"/>
    <n v="3478.78"/>
    <x v="1"/>
    <x v="0"/>
    <n v="3"/>
    <x v="3"/>
    <x v="1"/>
    <n v="2025"/>
  </r>
  <r>
    <x v="190"/>
    <s v="Mary Miller"/>
    <x v="47"/>
    <x v="1"/>
    <x v="40"/>
    <d v="2025-11-24T00:00:00"/>
    <x v="2"/>
    <x v="10"/>
    <n v="3693.12"/>
    <x v="6"/>
    <x v="1"/>
    <n v="6"/>
    <x v="3"/>
    <x v="7"/>
    <n v="2025"/>
  </r>
  <r>
    <x v="191"/>
    <s v="Barbara Garcia"/>
    <x v="64"/>
    <x v="1"/>
    <x v="170"/>
    <d v="2024-03-12T00:00:00"/>
    <x v="2"/>
    <x v="21"/>
    <n v="1441.21"/>
    <x v="2"/>
    <x v="0"/>
    <n v="1"/>
    <x v="1"/>
    <x v="15"/>
    <n v="2024"/>
  </r>
  <r>
    <x v="192"/>
    <s v="Lisa Clark"/>
    <x v="24"/>
    <x v="1"/>
    <x v="171"/>
    <d v="2024-12-19T00:00:00"/>
    <x v="2"/>
    <x v="21"/>
    <n v="8378.4500000000007"/>
    <x v="5"/>
    <x v="1"/>
    <n v="6"/>
    <x v="0"/>
    <x v="12"/>
    <n v="2024"/>
  </r>
  <r>
    <x v="193"/>
    <s v="Dorothy White"/>
    <x v="41"/>
    <x v="1"/>
    <x v="172"/>
    <d v="2024-10-30T00:00:00"/>
    <x v="0"/>
    <x v="0"/>
    <n v="16501.419999999998"/>
    <x v="4"/>
    <x v="0"/>
    <n v="10"/>
    <x v="1"/>
    <x v="3"/>
    <n v="2024"/>
  </r>
  <r>
    <x v="194"/>
    <s v="Linda Jackson"/>
    <x v="5"/>
    <x v="1"/>
    <x v="32"/>
    <d v="2025-05-30T00:00:00"/>
    <x v="0"/>
    <x v="19"/>
    <n v="18430.509999999998"/>
    <x v="6"/>
    <x v="0"/>
    <n v="9"/>
    <x v="0"/>
    <x v="13"/>
    <n v="2025"/>
  </r>
  <r>
    <x v="195"/>
    <s v="Anthony Thompson"/>
    <x v="18"/>
    <x v="0"/>
    <x v="173"/>
    <d v="2024-09-18T00:00:00"/>
    <x v="2"/>
    <x v="16"/>
    <n v="1567.15"/>
    <x v="1"/>
    <x v="2"/>
    <n v="3"/>
    <x v="3"/>
    <x v="21"/>
    <n v="2024"/>
  </r>
  <r>
    <x v="196"/>
    <s v="Michelle Perez"/>
    <x v="28"/>
    <x v="1"/>
    <x v="47"/>
    <d v="2024-09-11T00:00:00"/>
    <x v="1"/>
    <x v="7"/>
    <n v="917.44"/>
    <x v="1"/>
    <x v="0"/>
    <n v="1"/>
    <x v="0"/>
    <x v="21"/>
    <n v="2024"/>
  </r>
  <r>
    <x v="197"/>
    <s v="Nancy Harris"/>
    <x v="16"/>
    <x v="1"/>
    <x v="174"/>
    <d v="2025-12-12T00:00:00"/>
    <x v="0"/>
    <x v="19"/>
    <n v="18345.38"/>
    <x v="1"/>
    <x v="1"/>
    <n v="9"/>
    <x v="1"/>
    <x v="9"/>
    <n v="2025"/>
  </r>
  <r>
    <x v="198"/>
    <s v="Ashley Moore"/>
    <x v="5"/>
    <x v="1"/>
    <x v="175"/>
    <d v="2024-12-09T00:00:00"/>
    <x v="5"/>
    <x v="12"/>
    <n v="19211.240000000002"/>
    <x v="3"/>
    <x v="0"/>
    <n v="9"/>
    <x v="0"/>
    <x v="4"/>
    <n v="2024"/>
  </r>
  <r>
    <x v="199"/>
    <s v="Joshua Rodriguez"/>
    <x v="47"/>
    <x v="0"/>
    <x v="176"/>
    <d v="2025-06-01T00:00:00"/>
    <x v="0"/>
    <x v="1"/>
    <n v="10336.58"/>
    <x v="6"/>
    <x v="0"/>
    <n v="4"/>
    <x v="3"/>
    <x v="13"/>
    <n v="2025"/>
  </r>
  <r>
    <x v="200"/>
    <s v="Lisa Martin"/>
    <x v="40"/>
    <x v="1"/>
    <x v="177"/>
    <d v="2025-02-24T00:00:00"/>
    <x v="2"/>
    <x v="33"/>
    <n v="4926.12"/>
    <x v="5"/>
    <x v="1"/>
    <n v="7"/>
    <x v="0"/>
    <x v="10"/>
    <n v="2025"/>
  </r>
  <r>
    <x v="201"/>
    <s v="Susan Davis"/>
    <x v="64"/>
    <x v="1"/>
    <x v="178"/>
    <d v="2024-07-24T00:00:00"/>
    <x v="5"/>
    <x v="35"/>
    <n v="13102.72"/>
    <x v="4"/>
    <x v="1"/>
    <n v="6"/>
    <x v="1"/>
    <x v="0"/>
    <n v="2024"/>
  </r>
  <r>
    <x v="202"/>
    <s v="Anthony Anderson"/>
    <x v="70"/>
    <x v="0"/>
    <x v="179"/>
    <d v="2024-03-11T00:00:00"/>
    <x v="2"/>
    <x v="5"/>
    <n v="4595.79"/>
    <x v="1"/>
    <x v="0"/>
    <n v="7"/>
    <x v="0"/>
    <x v="15"/>
    <n v="2024"/>
  </r>
  <r>
    <x v="203"/>
    <s v="Kenneth Jones"/>
    <x v="39"/>
    <x v="0"/>
    <x v="118"/>
    <d v="2024-12-02T00:00:00"/>
    <x v="1"/>
    <x v="31"/>
    <n v="3717.61"/>
    <x v="3"/>
    <x v="1"/>
    <n v="3"/>
    <x v="0"/>
    <x v="4"/>
    <n v="2024"/>
  </r>
  <r>
    <x v="204"/>
    <s v="Daniel Young"/>
    <x v="42"/>
    <x v="0"/>
    <x v="180"/>
    <d v="2026-01-03T00:00:00"/>
    <x v="4"/>
    <x v="18"/>
    <n v="33810.44"/>
    <x v="3"/>
    <x v="0"/>
    <n v="13"/>
    <x v="3"/>
    <x v="9"/>
    <n v="2025"/>
  </r>
  <r>
    <x v="205"/>
    <s v="Betty Williams"/>
    <x v="71"/>
    <x v="1"/>
    <x v="181"/>
    <d v="2025-01-07T00:00:00"/>
    <x v="3"/>
    <x v="22"/>
    <n v="4115.83"/>
    <x v="4"/>
    <x v="0"/>
    <n v="4"/>
    <x v="4"/>
    <x v="17"/>
    <n v="2025"/>
  </r>
  <r>
    <x v="206"/>
    <s v="Ashley Brown"/>
    <x v="70"/>
    <x v="1"/>
    <x v="70"/>
    <d v="2025-04-07T00:00:00"/>
    <x v="2"/>
    <x v="5"/>
    <n v="8245.4599999999991"/>
    <x v="4"/>
    <x v="2"/>
    <n v="6"/>
    <x v="0"/>
    <x v="18"/>
    <n v="2025"/>
  </r>
  <r>
    <x v="207"/>
    <s v="Anthony Rodriguez"/>
    <x v="73"/>
    <x v="0"/>
    <x v="182"/>
    <d v="2025-02-21T00:00:00"/>
    <x v="3"/>
    <x v="9"/>
    <n v="7654.55"/>
    <x v="6"/>
    <x v="0"/>
    <n v="5"/>
    <x v="4"/>
    <x v="10"/>
    <n v="2025"/>
  </r>
  <r>
    <x v="208"/>
    <s v="Joshua Moore"/>
    <x v="24"/>
    <x v="0"/>
    <x v="24"/>
    <d v="2025-02-22T00:00:00"/>
    <x v="5"/>
    <x v="28"/>
    <n v="7167.44"/>
    <x v="1"/>
    <x v="0"/>
    <n v="4"/>
    <x v="0"/>
    <x v="10"/>
    <n v="2025"/>
  </r>
  <r>
    <x v="209"/>
    <s v="Barbara Young"/>
    <x v="5"/>
    <x v="1"/>
    <x v="183"/>
    <d v="2025-06-03T00:00:00"/>
    <x v="1"/>
    <x v="2"/>
    <n v="2556.12"/>
    <x v="1"/>
    <x v="0"/>
    <n v="2"/>
    <x v="0"/>
    <x v="19"/>
    <n v="2025"/>
  </r>
  <r>
    <x v="210"/>
    <s v="Christopher White"/>
    <x v="68"/>
    <x v="0"/>
    <x v="184"/>
    <d v="2024-08-08T00:00:00"/>
    <x v="3"/>
    <x v="24"/>
    <n v="3139.43"/>
    <x v="1"/>
    <x v="0"/>
    <n v="3"/>
    <x v="4"/>
    <x v="8"/>
    <n v="2024"/>
  </r>
  <r>
    <x v="211"/>
    <s v="William Perez"/>
    <x v="62"/>
    <x v="0"/>
    <x v="63"/>
    <d v="2025-03-16T00:00:00"/>
    <x v="1"/>
    <x v="2"/>
    <n v="1893.98"/>
    <x v="3"/>
    <x v="0"/>
    <n v="1"/>
    <x v="1"/>
    <x v="1"/>
    <n v="2025"/>
  </r>
  <r>
    <x v="212"/>
    <s v="Emily Clark"/>
    <x v="29"/>
    <x v="1"/>
    <x v="185"/>
    <d v="2025-07-02T00:00:00"/>
    <x v="5"/>
    <x v="28"/>
    <n v="11663.48"/>
    <x v="2"/>
    <x v="1"/>
    <n v="6"/>
    <x v="2"/>
    <x v="19"/>
    <n v="2025"/>
  </r>
  <r>
    <x v="213"/>
    <s v="Mary Taylor"/>
    <x v="53"/>
    <x v="1"/>
    <x v="186"/>
    <d v="2024-09-09T00:00:00"/>
    <x v="2"/>
    <x v="21"/>
    <n v="1596.88"/>
    <x v="4"/>
    <x v="2"/>
    <n v="3"/>
    <x v="3"/>
    <x v="21"/>
    <n v="2024"/>
  </r>
  <r>
    <x v="214"/>
    <s v="Michelle Garcia"/>
    <x v="27"/>
    <x v="1"/>
    <x v="187"/>
    <d v="2024-08-09T00:00:00"/>
    <x v="2"/>
    <x v="8"/>
    <n v="4111.79"/>
    <x v="1"/>
    <x v="0"/>
    <n v="5"/>
    <x v="3"/>
    <x v="8"/>
    <n v="2024"/>
  </r>
  <r>
    <x v="215"/>
    <s v="Michael Perez"/>
    <x v="57"/>
    <x v="0"/>
    <x v="188"/>
    <d v="2024-03-27T00:00:00"/>
    <x v="1"/>
    <x v="2"/>
    <n v="6606.32"/>
    <x v="1"/>
    <x v="0"/>
    <n v="3"/>
    <x v="2"/>
    <x v="15"/>
    <n v="2024"/>
  </r>
  <r>
    <x v="216"/>
    <s v="Carol White"/>
    <x v="5"/>
    <x v="1"/>
    <x v="186"/>
    <d v="2024-09-18T00:00:00"/>
    <x v="5"/>
    <x v="35"/>
    <n v="31197"/>
    <x v="1"/>
    <x v="1"/>
    <n v="12"/>
    <x v="0"/>
    <x v="21"/>
    <n v="2024"/>
  </r>
  <r>
    <x v="217"/>
    <s v="Christopher Perez"/>
    <x v="6"/>
    <x v="0"/>
    <x v="189"/>
    <d v="2025-01-11T00:00:00"/>
    <x v="0"/>
    <x v="1"/>
    <n v="23891.3"/>
    <x v="3"/>
    <x v="0"/>
    <n v="10"/>
    <x v="3"/>
    <x v="17"/>
    <n v="2025"/>
  </r>
  <r>
    <x v="218"/>
    <s v="David Moore"/>
    <x v="21"/>
    <x v="0"/>
    <x v="190"/>
    <d v="2025-11-27T00:00:00"/>
    <x v="0"/>
    <x v="20"/>
    <n v="18293.13"/>
    <x v="0"/>
    <x v="2"/>
    <n v="10"/>
    <x v="1"/>
    <x v="7"/>
    <n v="2025"/>
  </r>
  <r>
    <x v="219"/>
    <s v="Emily Walker"/>
    <x v="57"/>
    <x v="1"/>
    <x v="13"/>
    <d v="2024-08-23T00:00:00"/>
    <x v="1"/>
    <x v="31"/>
    <n v="7364.68"/>
    <x v="5"/>
    <x v="1"/>
    <n v="3"/>
    <x v="2"/>
    <x v="8"/>
    <n v="2024"/>
  </r>
  <r>
    <x v="220"/>
    <s v="Jessica Jackson"/>
    <x v="68"/>
    <x v="1"/>
    <x v="141"/>
    <d v="2024-06-28T00:00:00"/>
    <x v="3"/>
    <x v="9"/>
    <n v="2403.02"/>
    <x v="1"/>
    <x v="0"/>
    <n v="2"/>
    <x v="4"/>
    <x v="16"/>
    <n v="2024"/>
  </r>
  <r>
    <x v="221"/>
    <s v="Thomas Miller"/>
    <x v="54"/>
    <x v="0"/>
    <x v="191"/>
    <d v="2025-12-09T00:00:00"/>
    <x v="5"/>
    <x v="17"/>
    <n v="22054.65"/>
    <x v="1"/>
    <x v="1"/>
    <n v="10"/>
    <x v="1"/>
    <x v="7"/>
    <n v="2025"/>
  </r>
  <r>
    <x v="222"/>
    <s v="Kevin Taylor"/>
    <x v="11"/>
    <x v="0"/>
    <x v="66"/>
    <d v="2025-12-27T00:00:00"/>
    <x v="2"/>
    <x v="8"/>
    <n v="6331.28"/>
    <x v="1"/>
    <x v="2"/>
    <n v="5"/>
    <x v="3"/>
    <x v="9"/>
    <n v="2025"/>
  </r>
  <r>
    <x v="223"/>
    <s v="Richard Robinson"/>
    <x v="39"/>
    <x v="0"/>
    <x v="192"/>
    <d v="2024-10-19T00:00:00"/>
    <x v="0"/>
    <x v="29"/>
    <n v="27345.03"/>
    <x v="6"/>
    <x v="1"/>
    <n v="10"/>
    <x v="0"/>
    <x v="3"/>
    <n v="2024"/>
  </r>
  <r>
    <x v="224"/>
    <s v="Michelle Martinez"/>
    <x v="22"/>
    <x v="1"/>
    <x v="130"/>
    <d v="2024-05-10T00:00:00"/>
    <x v="4"/>
    <x v="11"/>
    <n v="11435.94"/>
    <x v="3"/>
    <x v="0"/>
    <n v="8"/>
    <x v="3"/>
    <x v="11"/>
    <n v="2024"/>
  </r>
  <r>
    <x v="225"/>
    <s v="William Young"/>
    <x v="14"/>
    <x v="0"/>
    <x v="193"/>
    <d v="2024-09-19T00:00:00"/>
    <x v="1"/>
    <x v="36"/>
    <n v="859.95"/>
    <x v="0"/>
    <x v="1"/>
    <n v="1"/>
    <x v="1"/>
    <x v="21"/>
    <n v="2024"/>
  </r>
  <r>
    <x v="226"/>
    <s v="Richard Smith"/>
    <x v="37"/>
    <x v="0"/>
    <x v="137"/>
    <d v="2024-04-21T00:00:00"/>
    <x v="3"/>
    <x v="23"/>
    <n v="2590.21"/>
    <x v="3"/>
    <x v="1"/>
    <n v="3"/>
    <x v="4"/>
    <x v="2"/>
    <n v="2024"/>
  </r>
  <r>
    <x v="227"/>
    <s v="Betty Thompson"/>
    <x v="47"/>
    <x v="1"/>
    <x v="194"/>
    <d v="2025-07-27T00:00:00"/>
    <x v="2"/>
    <x v="8"/>
    <n v="791.92"/>
    <x v="4"/>
    <x v="2"/>
    <n v="1"/>
    <x v="3"/>
    <x v="22"/>
    <n v="2025"/>
  </r>
  <r>
    <x v="228"/>
    <s v="Jessica Young"/>
    <x v="47"/>
    <x v="1"/>
    <x v="144"/>
    <d v="2024-08-13T00:00:00"/>
    <x v="1"/>
    <x v="32"/>
    <n v="3524.43"/>
    <x v="1"/>
    <x v="0"/>
    <n v="3"/>
    <x v="3"/>
    <x v="8"/>
    <n v="2024"/>
  </r>
  <r>
    <x v="229"/>
    <s v="Joshua Taylor"/>
    <x v="42"/>
    <x v="0"/>
    <x v="195"/>
    <d v="2024-06-14T00:00:00"/>
    <x v="4"/>
    <x v="18"/>
    <n v="4464.59"/>
    <x v="2"/>
    <x v="2"/>
    <n v="2"/>
    <x v="3"/>
    <x v="16"/>
    <n v="2024"/>
  </r>
  <r>
    <x v="230"/>
    <s v="Karen Robinson"/>
    <x v="12"/>
    <x v="1"/>
    <x v="23"/>
    <d v="2024-03-22T00:00:00"/>
    <x v="1"/>
    <x v="36"/>
    <n v="4867.6099999999997"/>
    <x v="5"/>
    <x v="0"/>
    <n v="3"/>
    <x v="2"/>
    <x v="15"/>
    <n v="2024"/>
  </r>
  <r>
    <x v="231"/>
    <s v="Daniel Harris"/>
    <x v="63"/>
    <x v="0"/>
    <x v="196"/>
    <d v="2024-11-13T00:00:00"/>
    <x v="0"/>
    <x v="29"/>
    <n v="5584.74"/>
    <x v="6"/>
    <x v="0"/>
    <n v="4"/>
    <x v="3"/>
    <x v="4"/>
    <n v="2024"/>
  </r>
  <r>
    <x v="232"/>
    <s v="Sarah Perez"/>
    <x v="38"/>
    <x v="1"/>
    <x v="55"/>
    <d v="2025-05-07T00:00:00"/>
    <x v="1"/>
    <x v="2"/>
    <n v="4718.74"/>
    <x v="1"/>
    <x v="1"/>
    <n v="2"/>
    <x v="0"/>
    <x v="13"/>
    <n v="2025"/>
  </r>
  <r>
    <x v="233"/>
    <s v="Joseph Robinson"/>
    <x v="74"/>
    <x v="0"/>
    <x v="197"/>
    <d v="2025-02-15T00:00:00"/>
    <x v="3"/>
    <x v="37"/>
    <n v="1605.56"/>
    <x v="1"/>
    <x v="1"/>
    <n v="1"/>
    <x v="4"/>
    <x v="10"/>
    <n v="2025"/>
  </r>
  <r>
    <x v="234"/>
    <s v="Kenneth Anderson"/>
    <x v="66"/>
    <x v="0"/>
    <x v="198"/>
    <d v="2025-03-01T00:00:00"/>
    <x v="2"/>
    <x v="5"/>
    <n v="1383.31"/>
    <x v="3"/>
    <x v="0"/>
    <n v="1"/>
    <x v="1"/>
    <x v="10"/>
    <n v="2025"/>
  </r>
  <r>
    <x v="235"/>
    <s v="Ashley Williams"/>
    <x v="33"/>
    <x v="1"/>
    <x v="199"/>
    <d v="2025-04-08T00:00:00"/>
    <x v="0"/>
    <x v="20"/>
    <n v="19135.11"/>
    <x v="1"/>
    <x v="0"/>
    <n v="8"/>
    <x v="0"/>
    <x v="1"/>
    <n v="2025"/>
  </r>
  <r>
    <x v="236"/>
    <s v="Dorothy Taylor"/>
    <x v="6"/>
    <x v="1"/>
    <x v="200"/>
    <d v="2024-10-17T00:00:00"/>
    <x v="4"/>
    <x v="14"/>
    <n v="9234.25"/>
    <x v="5"/>
    <x v="1"/>
    <n v="4"/>
    <x v="3"/>
    <x v="3"/>
    <n v="2024"/>
  </r>
  <r>
    <x v="237"/>
    <s v="William Williams"/>
    <x v="46"/>
    <x v="0"/>
    <x v="201"/>
    <d v="2024-06-29T00:00:00"/>
    <x v="0"/>
    <x v="20"/>
    <n v="7388.36"/>
    <x v="3"/>
    <x v="0"/>
    <n v="5"/>
    <x v="1"/>
    <x v="16"/>
    <n v="2024"/>
  </r>
  <r>
    <x v="238"/>
    <s v="Ashley Thomas"/>
    <x v="75"/>
    <x v="1"/>
    <x v="126"/>
    <d v="2024-06-25T00:00:00"/>
    <x v="3"/>
    <x v="24"/>
    <n v="2080.9499999999998"/>
    <x v="6"/>
    <x v="2"/>
    <n v="3"/>
    <x v="4"/>
    <x v="16"/>
    <n v="2024"/>
  </r>
  <r>
    <x v="239"/>
    <s v="Richard Young"/>
    <x v="14"/>
    <x v="0"/>
    <x v="202"/>
    <d v="2024-01-12T00:00:00"/>
    <x v="4"/>
    <x v="26"/>
    <n v="5457.97"/>
    <x v="1"/>
    <x v="0"/>
    <n v="2"/>
    <x v="1"/>
    <x v="23"/>
    <n v="2024"/>
  </r>
  <r>
    <x v="240"/>
    <s v="Donna Jones"/>
    <x v="18"/>
    <x v="1"/>
    <x v="203"/>
    <d v="2024-08-30T00:00:00"/>
    <x v="4"/>
    <x v="13"/>
    <n v="15047.59"/>
    <x v="1"/>
    <x v="0"/>
    <n v="12"/>
    <x v="3"/>
    <x v="8"/>
    <n v="2024"/>
  </r>
  <r>
    <x v="241"/>
    <s v="Susan Brown"/>
    <x v="43"/>
    <x v="1"/>
    <x v="100"/>
    <d v="2024-12-06T00:00:00"/>
    <x v="3"/>
    <x v="37"/>
    <n v="2737.97"/>
    <x v="3"/>
    <x v="0"/>
    <n v="2"/>
    <x v="4"/>
    <x v="12"/>
    <n v="2024"/>
  </r>
  <r>
    <x v="242"/>
    <s v="Thomas Miller"/>
    <x v="23"/>
    <x v="0"/>
    <x v="204"/>
    <d v="2025-01-07T00:00:00"/>
    <x v="4"/>
    <x v="13"/>
    <n v="19026.97"/>
    <x v="1"/>
    <x v="1"/>
    <n v="14"/>
    <x v="0"/>
    <x v="12"/>
    <n v="2024"/>
  </r>
  <r>
    <x v="243"/>
    <s v="Matthew Clark"/>
    <x v="17"/>
    <x v="0"/>
    <x v="74"/>
    <d v="2024-02-04T00:00:00"/>
    <x v="1"/>
    <x v="31"/>
    <n v="4955.5"/>
    <x v="3"/>
    <x v="1"/>
    <n v="3"/>
    <x v="3"/>
    <x v="5"/>
    <n v="2024"/>
  </r>
  <r>
    <x v="244"/>
    <s v="Karen Ramirez"/>
    <x v="23"/>
    <x v="1"/>
    <x v="205"/>
    <d v="2025-04-12T00:00:00"/>
    <x v="1"/>
    <x v="36"/>
    <n v="4048.56"/>
    <x v="1"/>
    <x v="1"/>
    <n v="2"/>
    <x v="0"/>
    <x v="18"/>
    <n v="2025"/>
  </r>
  <r>
    <x v="245"/>
    <s v="Joseph Perez"/>
    <x v="44"/>
    <x v="0"/>
    <x v="206"/>
    <d v="2025-12-10T00:00:00"/>
    <x v="2"/>
    <x v="33"/>
    <n v="6918.6"/>
    <x v="1"/>
    <x v="0"/>
    <n v="6"/>
    <x v="3"/>
    <x v="9"/>
    <n v="2025"/>
  </r>
  <r>
    <x v="246"/>
    <s v="Elizabeth Jackson"/>
    <x v="71"/>
    <x v="1"/>
    <x v="204"/>
    <d v="2024-12-27T00:00:00"/>
    <x v="3"/>
    <x v="23"/>
    <n v="3846.88"/>
    <x v="1"/>
    <x v="0"/>
    <n v="3"/>
    <x v="4"/>
    <x v="12"/>
    <n v="2024"/>
  </r>
  <r>
    <x v="247"/>
    <s v="Carol Taylor"/>
    <x v="4"/>
    <x v="1"/>
    <x v="57"/>
    <d v="2025-05-03T00:00:00"/>
    <x v="2"/>
    <x v="21"/>
    <n v="3019.93"/>
    <x v="5"/>
    <x v="2"/>
    <n v="4"/>
    <x v="1"/>
    <x v="18"/>
    <n v="2025"/>
  </r>
  <r>
    <x v="248"/>
    <s v="Robert Walker"/>
    <x v="30"/>
    <x v="0"/>
    <x v="207"/>
    <d v="2024-12-02T00:00:00"/>
    <x v="3"/>
    <x v="25"/>
    <n v="3543.7"/>
    <x v="3"/>
    <x v="1"/>
    <n v="4"/>
    <x v="4"/>
    <x v="4"/>
    <n v="2024"/>
  </r>
  <r>
    <x v="249"/>
    <s v="Joshua Martin"/>
    <x v="55"/>
    <x v="0"/>
    <x v="208"/>
    <d v="2025-07-16T00:00:00"/>
    <x v="4"/>
    <x v="27"/>
    <n v="2354.4899999999998"/>
    <x v="0"/>
    <x v="2"/>
    <n v="2"/>
    <x v="0"/>
    <x v="22"/>
    <n v="2025"/>
  </r>
  <r>
    <x v="250"/>
    <s v="Ashley Thomas"/>
    <x v="44"/>
    <x v="1"/>
    <x v="209"/>
    <d v="2025-09-19T00:00:00"/>
    <x v="1"/>
    <x v="2"/>
    <n v="4854.92"/>
    <x v="5"/>
    <x v="2"/>
    <n v="3"/>
    <x v="3"/>
    <x v="20"/>
    <n v="2025"/>
  </r>
  <r>
    <x v="251"/>
    <s v="Sandra Moore"/>
    <x v="9"/>
    <x v="1"/>
    <x v="107"/>
    <d v="2024-07-07T00:00:00"/>
    <x v="3"/>
    <x v="37"/>
    <n v="2341.4499999999998"/>
    <x v="3"/>
    <x v="1"/>
    <n v="2"/>
    <x v="4"/>
    <x v="0"/>
    <n v="2024"/>
  </r>
  <r>
    <x v="252"/>
    <s v="Andrew Walker"/>
    <x v="71"/>
    <x v="0"/>
    <x v="111"/>
    <d v="2024-11-10T00:00:00"/>
    <x v="3"/>
    <x v="24"/>
    <n v="6634.75"/>
    <x v="6"/>
    <x v="1"/>
    <n v="5"/>
    <x v="4"/>
    <x v="4"/>
    <n v="2024"/>
  </r>
  <r>
    <x v="253"/>
    <s v="Linda Hernandez"/>
    <x v="73"/>
    <x v="1"/>
    <x v="210"/>
    <d v="2025-04-26T00:00:00"/>
    <x v="3"/>
    <x v="23"/>
    <n v="2307.54"/>
    <x v="5"/>
    <x v="1"/>
    <n v="3"/>
    <x v="4"/>
    <x v="18"/>
    <n v="2025"/>
  </r>
  <r>
    <x v="254"/>
    <s v="Mark Clark"/>
    <x v="3"/>
    <x v="0"/>
    <x v="211"/>
    <d v="2025-11-07T00:00:00"/>
    <x v="2"/>
    <x v="10"/>
    <n v="6481.41"/>
    <x v="0"/>
    <x v="2"/>
    <n v="5"/>
    <x v="2"/>
    <x v="7"/>
    <n v="2025"/>
  </r>
  <r>
    <x v="255"/>
    <s v="Brian Wilson"/>
    <x v="42"/>
    <x v="0"/>
    <x v="101"/>
    <d v="2024-01-14T00:00:00"/>
    <x v="0"/>
    <x v="6"/>
    <n v="14839.54"/>
    <x v="5"/>
    <x v="2"/>
    <n v="9"/>
    <x v="3"/>
    <x v="23"/>
    <n v="2024"/>
  </r>
  <r>
    <x v="256"/>
    <s v="Emily Thomas"/>
    <x v="49"/>
    <x v="1"/>
    <x v="212"/>
    <d v="2025-11-26T00:00:00"/>
    <x v="5"/>
    <x v="17"/>
    <n v="8724.32"/>
    <x v="1"/>
    <x v="1"/>
    <n v="5"/>
    <x v="2"/>
    <x v="7"/>
    <n v="2025"/>
  </r>
  <r>
    <x v="257"/>
    <s v="Sandra Brown"/>
    <x v="76"/>
    <x v="1"/>
    <x v="213"/>
    <d v="2025-04-23T00:00:00"/>
    <x v="2"/>
    <x v="4"/>
    <n v="8724.0499999999993"/>
    <x v="4"/>
    <x v="1"/>
    <n v="6"/>
    <x v="1"/>
    <x v="18"/>
    <n v="2025"/>
  </r>
  <r>
    <x v="258"/>
    <s v="Dorothy Harris"/>
    <x v="34"/>
    <x v="1"/>
    <x v="214"/>
    <d v="2025-03-02T00:00:00"/>
    <x v="0"/>
    <x v="29"/>
    <n v="12277.2"/>
    <x v="6"/>
    <x v="0"/>
    <n v="7"/>
    <x v="0"/>
    <x v="10"/>
    <n v="2025"/>
  </r>
  <r>
    <x v="259"/>
    <s v="Ashley Rodriguez"/>
    <x v="2"/>
    <x v="1"/>
    <x v="126"/>
    <d v="2024-06-25T00:00:00"/>
    <x v="1"/>
    <x v="2"/>
    <n v="7304.79"/>
    <x v="3"/>
    <x v="0"/>
    <n v="3"/>
    <x v="1"/>
    <x v="16"/>
    <n v="2024"/>
  </r>
  <r>
    <x v="260"/>
    <s v="Dorothy Ramirez"/>
    <x v="22"/>
    <x v="1"/>
    <x v="27"/>
    <d v="2025-01-28T00:00:00"/>
    <x v="1"/>
    <x v="7"/>
    <n v="4042.99"/>
    <x v="6"/>
    <x v="2"/>
    <n v="3"/>
    <x v="3"/>
    <x v="17"/>
    <n v="2025"/>
  </r>
  <r>
    <x v="261"/>
    <s v="David Rodriguez"/>
    <x v="77"/>
    <x v="0"/>
    <x v="215"/>
    <d v="2024-04-27T00:00:00"/>
    <x v="2"/>
    <x v="16"/>
    <n v="2452.73"/>
    <x v="2"/>
    <x v="2"/>
    <n v="3"/>
    <x v="2"/>
    <x v="2"/>
    <n v="2024"/>
  </r>
  <r>
    <x v="262"/>
    <s v="Karen Harris"/>
    <x v="56"/>
    <x v="1"/>
    <x v="216"/>
    <d v="2025-12-21T00:00:00"/>
    <x v="3"/>
    <x v="25"/>
    <n v="1535.75"/>
    <x v="3"/>
    <x v="0"/>
    <n v="2"/>
    <x v="4"/>
    <x v="9"/>
    <n v="2025"/>
  </r>
  <r>
    <x v="263"/>
    <s v="Michelle Wilson"/>
    <x v="53"/>
    <x v="1"/>
    <x v="217"/>
    <d v="2024-10-27T00:00:00"/>
    <x v="2"/>
    <x v="21"/>
    <n v="600.19000000000005"/>
    <x v="6"/>
    <x v="0"/>
    <n v="1"/>
    <x v="3"/>
    <x v="3"/>
    <n v="2024"/>
  </r>
  <r>
    <x v="264"/>
    <s v="Emily Young"/>
    <x v="32"/>
    <x v="1"/>
    <x v="218"/>
    <d v="2024-08-29T00:00:00"/>
    <x v="1"/>
    <x v="15"/>
    <n v="2662.2"/>
    <x v="6"/>
    <x v="0"/>
    <n v="2"/>
    <x v="1"/>
    <x v="8"/>
    <n v="2024"/>
  </r>
  <r>
    <x v="265"/>
    <s v="William Clark"/>
    <x v="23"/>
    <x v="0"/>
    <x v="210"/>
    <d v="2025-04-26T00:00:00"/>
    <x v="1"/>
    <x v="2"/>
    <n v="2947.4"/>
    <x v="3"/>
    <x v="0"/>
    <n v="3"/>
    <x v="0"/>
    <x v="18"/>
    <n v="2025"/>
  </r>
  <r>
    <x v="266"/>
    <s v="James Hernandez"/>
    <x v="23"/>
    <x v="0"/>
    <x v="219"/>
    <d v="2025-06-10T00:00:00"/>
    <x v="4"/>
    <x v="26"/>
    <n v="6487.43"/>
    <x v="1"/>
    <x v="0"/>
    <n v="3"/>
    <x v="0"/>
    <x v="19"/>
    <n v="2025"/>
  </r>
  <r>
    <x v="267"/>
    <s v="Elizabeth White"/>
    <x v="58"/>
    <x v="1"/>
    <x v="220"/>
    <d v="2025-07-29T00:00:00"/>
    <x v="0"/>
    <x v="29"/>
    <n v="5274.8"/>
    <x v="1"/>
    <x v="0"/>
    <n v="4"/>
    <x v="1"/>
    <x v="22"/>
    <n v="2025"/>
  </r>
  <r>
    <x v="268"/>
    <s v="Matthew Martin"/>
    <x v="70"/>
    <x v="0"/>
    <x v="221"/>
    <d v="2025-09-25T00:00:00"/>
    <x v="0"/>
    <x v="0"/>
    <n v="17770.45"/>
    <x v="6"/>
    <x v="0"/>
    <n v="6"/>
    <x v="0"/>
    <x v="20"/>
    <n v="2025"/>
  </r>
  <r>
    <x v="269"/>
    <s v="Nancy Garcia"/>
    <x v="33"/>
    <x v="1"/>
    <x v="77"/>
    <d v="2025-12-12T00:00:00"/>
    <x v="4"/>
    <x v="26"/>
    <n v="38493.53"/>
    <x v="2"/>
    <x v="0"/>
    <n v="14"/>
    <x v="0"/>
    <x v="7"/>
    <n v="2025"/>
  </r>
  <r>
    <x v="270"/>
    <s v="Betty Anderson"/>
    <x v="48"/>
    <x v="1"/>
    <x v="222"/>
    <d v="2024-03-18T00:00:00"/>
    <x v="2"/>
    <x v="4"/>
    <n v="3136.05"/>
    <x v="3"/>
    <x v="0"/>
    <n v="3"/>
    <x v="1"/>
    <x v="15"/>
    <n v="2024"/>
  </r>
  <r>
    <x v="271"/>
    <s v="Emily Moore"/>
    <x v="63"/>
    <x v="1"/>
    <x v="223"/>
    <d v="2025-12-18T00:00:00"/>
    <x v="0"/>
    <x v="19"/>
    <n v="28492.22"/>
    <x v="3"/>
    <x v="0"/>
    <n v="10"/>
    <x v="3"/>
    <x v="9"/>
    <n v="2025"/>
  </r>
  <r>
    <x v="272"/>
    <s v="Mark Martinez"/>
    <x v="44"/>
    <x v="0"/>
    <x v="177"/>
    <d v="2025-02-25T00:00:00"/>
    <x v="0"/>
    <x v="20"/>
    <n v="11794.68"/>
    <x v="5"/>
    <x v="2"/>
    <n v="8"/>
    <x v="3"/>
    <x v="10"/>
    <n v="2025"/>
  </r>
  <r>
    <x v="273"/>
    <s v="Elizabeth Lewis"/>
    <x v="43"/>
    <x v="1"/>
    <x v="224"/>
    <d v="2024-12-12T00:00:00"/>
    <x v="3"/>
    <x v="24"/>
    <n v="5980.76"/>
    <x v="1"/>
    <x v="0"/>
    <n v="4"/>
    <x v="4"/>
    <x v="12"/>
    <n v="2024"/>
  </r>
  <r>
    <x v="274"/>
    <s v="Lisa Rodriguez"/>
    <x v="70"/>
    <x v="1"/>
    <x v="103"/>
    <d v="2025-09-23T00:00:00"/>
    <x v="5"/>
    <x v="35"/>
    <n v="16835.150000000001"/>
    <x v="6"/>
    <x v="0"/>
    <n v="11"/>
    <x v="0"/>
    <x v="20"/>
    <n v="2025"/>
  </r>
  <r>
    <x v="275"/>
    <s v="Elizabeth Walker"/>
    <x v="26"/>
    <x v="1"/>
    <x v="225"/>
    <d v="2025-10-07T00:00:00"/>
    <x v="2"/>
    <x v="21"/>
    <n v="2837.18"/>
    <x v="6"/>
    <x v="2"/>
    <n v="4"/>
    <x v="1"/>
    <x v="14"/>
    <n v="2025"/>
  </r>
  <r>
    <x v="276"/>
    <s v="Kimberly White"/>
    <x v="53"/>
    <x v="1"/>
    <x v="80"/>
    <d v="2025-05-08T00:00:00"/>
    <x v="2"/>
    <x v="5"/>
    <n v="5652.05"/>
    <x v="2"/>
    <x v="1"/>
    <n v="7"/>
    <x v="3"/>
    <x v="13"/>
    <n v="2025"/>
  </r>
  <r>
    <x v="277"/>
    <s v="Michelle Hernandez"/>
    <x v="38"/>
    <x v="1"/>
    <x v="226"/>
    <d v="2024-03-05T00:00:00"/>
    <x v="0"/>
    <x v="0"/>
    <n v="15284.52"/>
    <x v="3"/>
    <x v="0"/>
    <n v="8"/>
    <x v="0"/>
    <x v="5"/>
    <n v="2024"/>
  </r>
  <r>
    <x v="278"/>
    <s v="Michael Moore"/>
    <x v="78"/>
    <x v="0"/>
    <x v="126"/>
    <d v="2024-06-27T00:00:00"/>
    <x v="2"/>
    <x v="8"/>
    <n v="6837.91"/>
    <x v="1"/>
    <x v="1"/>
    <n v="5"/>
    <x v="2"/>
    <x v="16"/>
    <n v="2024"/>
  </r>
  <r>
    <x v="279"/>
    <s v="Emily Johnson"/>
    <x v="69"/>
    <x v="1"/>
    <x v="227"/>
    <d v="2025-07-25T00:00:00"/>
    <x v="4"/>
    <x v="13"/>
    <n v="16726.009999999998"/>
    <x v="1"/>
    <x v="0"/>
    <n v="10"/>
    <x v="2"/>
    <x v="22"/>
    <n v="2025"/>
  </r>
  <r>
    <x v="280"/>
    <s v="Karen Davis"/>
    <x v="10"/>
    <x v="1"/>
    <x v="228"/>
    <d v="2024-09-18T00:00:00"/>
    <x v="0"/>
    <x v="20"/>
    <n v="17937.11"/>
    <x v="5"/>
    <x v="2"/>
    <n v="6"/>
    <x v="1"/>
    <x v="21"/>
    <n v="2024"/>
  </r>
  <r>
    <x v="281"/>
    <s v="Anthony Wilson"/>
    <x v="79"/>
    <x v="0"/>
    <x v="111"/>
    <d v="2024-11-19T00:00:00"/>
    <x v="4"/>
    <x v="27"/>
    <n v="27571.59"/>
    <x v="3"/>
    <x v="0"/>
    <n v="14"/>
    <x v="2"/>
    <x v="4"/>
    <n v="2024"/>
  </r>
  <r>
    <x v="282"/>
    <s v="Emily Moore"/>
    <x v="46"/>
    <x v="1"/>
    <x v="84"/>
    <d v="2024-10-30T00:00:00"/>
    <x v="0"/>
    <x v="20"/>
    <n v="13621.44"/>
    <x v="5"/>
    <x v="2"/>
    <n v="6"/>
    <x v="1"/>
    <x v="3"/>
    <n v="2024"/>
  </r>
  <r>
    <x v="283"/>
    <s v="Daniel Perez"/>
    <x v="36"/>
    <x v="0"/>
    <x v="229"/>
    <d v="2024-10-19T00:00:00"/>
    <x v="5"/>
    <x v="35"/>
    <n v="7553.52"/>
    <x v="4"/>
    <x v="0"/>
    <n v="5"/>
    <x v="0"/>
    <x v="3"/>
    <n v="2024"/>
  </r>
  <r>
    <x v="284"/>
    <s v="Michelle Harris"/>
    <x v="5"/>
    <x v="1"/>
    <x v="88"/>
    <d v="2024-11-29T00:00:00"/>
    <x v="4"/>
    <x v="26"/>
    <n v="34671.78"/>
    <x v="0"/>
    <x v="0"/>
    <n v="13"/>
    <x v="0"/>
    <x v="4"/>
    <n v="2024"/>
  </r>
  <r>
    <x v="285"/>
    <s v="Robert Johnson"/>
    <x v="16"/>
    <x v="0"/>
    <x v="230"/>
    <d v="2025-08-04T00:00:00"/>
    <x v="0"/>
    <x v="20"/>
    <n v="13674.29"/>
    <x v="1"/>
    <x v="0"/>
    <n v="5"/>
    <x v="1"/>
    <x v="22"/>
    <n v="2025"/>
  </r>
  <r>
    <x v="286"/>
    <s v="Susan Harris"/>
    <x v="49"/>
    <x v="1"/>
    <x v="24"/>
    <d v="2025-02-28T00:00:00"/>
    <x v="5"/>
    <x v="28"/>
    <n v="18872.25"/>
    <x v="6"/>
    <x v="0"/>
    <n v="10"/>
    <x v="2"/>
    <x v="10"/>
    <n v="2025"/>
  </r>
  <r>
    <x v="287"/>
    <s v="Mark Jones"/>
    <x v="78"/>
    <x v="0"/>
    <x v="231"/>
    <d v="2024-12-28T00:00:00"/>
    <x v="2"/>
    <x v="8"/>
    <n v="8363.1"/>
    <x v="0"/>
    <x v="2"/>
    <n v="6"/>
    <x v="2"/>
    <x v="12"/>
    <n v="2024"/>
  </r>
  <r>
    <x v="288"/>
    <s v="Thomas Young"/>
    <x v="37"/>
    <x v="0"/>
    <x v="191"/>
    <d v="2025-12-02T00:00:00"/>
    <x v="3"/>
    <x v="23"/>
    <n v="3886.44"/>
    <x v="3"/>
    <x v="0"/>
    <n v="3"/>
    <x v="4"/>
    <x v="7"/>
    <n v="2025"/>
  </r>
  <r>
    <x v="289"/>
    <s v="Joshua Johnson"/>
    <x v="24"/>
    <x v="0"/>
    <x v="232"/>
    <d v="2025-10-01T00:00:00"/>
    <x v="2"/>
    <x v="16"/>
    <n v="2780.94"/>
    <x v="1"/>
    <x v="0"/>
    <n v="2"/>
    <x v="0"/>
    <x v="20"/>
    <n v="2025"/>
  </r>
  <r>
    <x v="290"/>
    <s v="Joshua Clark"/>
    <x v="73"/>
    <x v="0"/>
    <x v="113"/>
    <d v="2024-04-18T00:00:00"/>
    <x v="3"/>
    <x v="9"/>
    <n v="1277.56"/>
    <x v="5"/>
    <x v="1"/>
    <n v="1"/>
    <x v="4"/>
    <x v="2"/>
    <n v="2024"/>
  </r>
  <r>
    <x v="291"/>
    <s v="Kimberly Rodriguez"/>
    <x v="50"/>
    <x v="1"/>
    <x v="233"/>
    <d v="2024-02-24T00:00:00"/>
    <x v="3"/>
    <x v="25"/>
    <n v="2921.29"/>
    <x v="4"/>
    <x v="2"/>
    <n v="3"/>
    <x v="4"/>
    <x v="5"/>
    <n v="2024"/>
  </r>
  <r>
    <x v="292"/>
    <s v="Nancy Johnson"/>
    <x v="76"/>
    <x v="1"/>
    <x v="234"/>
    <d v="2024-07-16T00:00:00"/>
    <x v="1"/>
    <x v="3"/>
    <n v="4516.54"/>
    <x v="5"/>
    <x v="1"/>
    <n v="3"/>
    <x v="1"/>
    <x v="0"/>
    <n v="2024"/>
  </r>
  <r>
    <x v="293"/>
    <s v="Michelle Martin"/>
    <x v="35"/>
    <x v="1"/>
    <x v="54"/>
    <d v="2024-04-03T00:00:00"/>
    <x v="4"/>
    <x v="26"/>
    <n v="15943.22"/>
    <x v="1"/>
    <x v="0"/>
    <n v="13"/>
    <x v="3"/>
    <x v="15"/>
    <n v="2024"/>
  </r>
  <r>
    <x v="294"/>
    <s v="Michelle Lee"/>
    <x v="62"/>
    <x v="1"/>
    <x v="235"/>
    <d v="2024-06-03T00:00:00"/>
    <x v="0"/>
    <x v="1"/>
    <n v="6113"/>
    <x v="1"/>
    <x v="0"/>
    <n v="3"/>
    <x v="1"/>
    <x v="11"/>
    <n v="2024"/>
  </r>
  <r>
    <x v="295"/>
    <s v="Richard Young"/>
    <x v="14"/>
    <x v="0"/>
    <x v="236"/>
    <d v="2024-08-06T00:00:00"/>
    <x v="1"/>
    <x v="7"/>
    <n v="4356.16"/>
    <x v="2"/>
    <x v="0"/>
    <n v="3"/>
    <x v="1"/>
    <x v="8"/>
    <n v="2024"/>
  </r>
  <r>
    <x v="296"/>
    <s v="Thomas Walker"/>
    <x v="80"/>
    <x v="0"/>
    <x v="237"/>
    <d v="2025-05-20T00:00:00"/>
    <x v="1"/>
    <x v="2"/>
    <n v="2810.17"/>
    <x v="3"/>
    <x v="0"/>
    <n v="3"/>
    <x v="2"/>
    <x v="13"/>
    <n v="2025"/>
  </r>
  <r>
    <x v="297"/>
    <s v="Kimberly Smith"/>
    <x v="63"/>
    <x v="1"/>
    <x v="238"/>
    <d v="2024-09-28T00:00:00"/>
    <x v="2"/>
    <x v="16"/>
    <n v="3049.69"/>
    <x v="0"/>
    <x v="0"/>
    <n v="4"/>
    <x v="3"/>
    <x v="21"/>
    <n v="2024"/>
  </r>
  <r>
    <x v="298"/>
    <s v="Betty Robinson"/>
    <x v="14"/>
    <x v="1"/>
    <x v="239"/>
    <d v="2025-04-19T00:00:00"/>
    <x v="2"/>
    <x v="16"/>
    <n v="2096.4899999999998"/>
    <x v="0"/>
    <x v="1"/>
    <n v="3"/>
    <x v="1"/>
    <x v="18"/>
    <n v="2025"/>
  </r>
  <r>
    <x v="299"/>
    <s v="Elizabeth Brown"/>
    <x v="22"/>
    <x v="1"/>
    <x v="41"/>
    <d v="2025-09-10T00:00:00"/>
    <x v="4"/>
    <x v="18"/>
    <n v="12341.99"/>
    <x v="5"/>
    <x v="0"/>
    <n v="5"/>
    <x v="3"/>
    <x v="20"/>
    <n v="2025"/>
  </r>
  <r>
    <x v="300"/>
    <s v="Anthony Garcia"/>
    <x v="49"/>
    <x v="0"/>
    <x v="240"/>
    <d v="2025-08-16T00:00:00"/>
    <x v="1"/>
    <x v="36"/>
    <n v="3445.79"/>
    <x v="3"/>
    <x v="0"/>
    <n v="3"/>
    <x v="2"/>
    <x v="6"/>
    <n v="2025"/>
  </r>
  <r>
    <x v="301"/>
    <s v="Barbara Davis"/>
    <x v="54"/>
    <x v="1"/>
    <x v="241"/>
    <d v="2024-04-16T00:00:00"/>
    <x v="0"/>
    <x v="20"/>
    <n v="4176.93"/>
    <x v="2"/>
    <x v="0"/>
    <n v="3"/>
    <x v="1"/>
    <x v="2"/>
    <n v="2024"/>
  </r>
  <r>
    <x v="302"/>
    <s v="William Rodriguez"/>
    <x v="33"/>
    <x v="0"/>
    <x v="242"/>
    <d v="2026-01-02T00:00:00"/>
    <x v="0"/>
    <x v="19"/>
    <n v="10022.5"/>
    <x v="5"/>
    <x v="1"/>
    <n v="5"/>
    <x v="0"/>
    <x v="9"/>
    <n v="2025"/>
  </r>
  <r>
    <x v="303"/>
    <s v="Robert Lee"/>
    <x v="0"/>
    <x v="0"/>
    <x v="243"/>
    <d v="2024-02-27T00:00:00"/>
    <x v="5"/>
    <x v="28"/>
    <n v="13346.03"/>
    <x v="0"/>
    <x v="0"/>
    <n v="7"/>
    <x v="0"/>
    <x v="5"/>
    <n v="2024"/>
  </r>
  <r>
    <x v="304"/>
    <s v="Karen Williams"/>
    <x v="13"/>
    <x v="1"/>
    <x v="103"/>
    <d v="2025-09-18T00:00:00"/>
    <x v="4"/>
    <x v="18"/>
    <n v="12949.84"/>
    <x v="1"/>
    <x v="0"/>
    <n v="6"/>
    <x v="1"/>
    <x v="20"/>
    <n v="2025"/>
  </r>
  <r>
    <x v="305"/>
    <s v="Barbara Clark"/>
    <x v="52"/>
    <x v="1"/>
    <x v="244"/>
    <d v="2025-03-31T00:00:00"/>
    <x v="5"/>
    <x v="12"/>
    <n v="5780.36"/>
    <x v="3"/>
    <x v="2"/>
    <n v="3"/>
    <x v="1"/>
    <x v="1"/>
    <n v="2025"/>
  </r>
  <r>
    <x v="306"/>
    <s v="Matthew Anderson"/>
    <x v="77"/>
    <x v="0"/>
    <x v="245"/>
    <d v="2025-10-07T00:00:00"/>
    <x v="4"/>
    <x v="18"/>
    <n v="12079.5"/>
    <x v="0"/>
    <x v="1"/>
    <n v="9"/>
    <x v="2"/>
    <x v="20"/>
    <n v="2025"/>
  </r>
  <r>
    <x v="307"/>
    <s v="Joseph Moore"/>
    <x v="11"/>
    <x v="0"/>
    <x v="246"/>
    <d v="2024-11-26T00:00:00"/>
    <x v="2"/>
    <x v="10"/>
    <n v="7389.52"/>
    <x v="1"/>
    <x v="1"/>
    <n v="7"/>
    <x v="3"/>
    <x v="4"/>
    <n v="2024"/>
  </r>
  <r>
    <x v="308"/>
    <s v="David Thomas"/>
    <x v="58"/>
    <x v="0"/>
    <x v="247"/>
    <d v="2025-08-22T00:00:00"/>
    <x v="0"/>
    <x v="0"/>
    <n v="5108.6400000000003"/>
    <x v="0"/>
    <x v="1"/>
    <n v="3"/>
    <x v="1"/>
    <x v="6"/>
    <n v="2025"/>
  </r>
  <r>
    <x v="309"/>
    <s v="Daniel Johnson"/>
    <x v="81"/>
    <x v="0"/>
    <x v="64"/>
    <d v="2024-05-26T00:00:00"/>
    <x v="1"/>
    <x v="7"/>
    <n v="3176.54"/>
    <x v="1"/>
    <x v="0"/>
    <n v="2"/>
    <x v="2"/>
    <x v="11"/>
    <n v="2024"/>
  </r>
  <r>
    <x v="310"/>
    <s v="Anthony Johnson"/>
    <x v="36"/>
    <x v="0"/>
    <x v="248"/>
    <d v="2024-09-17T00:00:00"/>
    <x v="4"/>
    <x v="26"/>
    <n v="17049.400000000001"/>
    <x v="6"/>
    <x v="2"/>
    <n v="8"/>
    <x v="0"/>
    <x v="21"/>
    <n v="2024"/>
  </r>
  <r>
    <x v="311"/>
    <s v="Carol Brown"/>
    <x v="13"/>
    <x v="1"/>
    <x v="69"/>
    <d v="2025-11-09T00:00:00"/>
    <x v="1"/>
    <x v="36"/>
    <n v="1997.86"/>
    <x v="5"/>
    <x v="0"/>
    <n v="1"/>
    <x v="1"/>
    <x v="7"/>
    <n v="2025"/>
  </r>
  <r>
    <x v="312"/>
    <s v="Mark Brown"/>
    <x v="42"/>
    <x v="0"/>
    <x v="249"/>
    <d v="2024-08-19T00:00:00"/>
    <x v="2"/>
    <x v="8"/>
    <n v="4991.59"/>
    <x v="2"/>
    <x v="2"/>
    <n v="4"/>
    <x v="3"/>
    <x v="8"/>
    <n v="2024"/>
  </r>
  <r>
    <x v="313"/>
    <s v="Elizabeth Taylor"/>
    <x v="14"/>
    <x v="1"/>
    <x v="13"/>
    <d v="2024-08-29T00:00:00"/>
    <x v="5"/>
    <x v="28"/>
    <n v="17095.62"/>
    <x v="3"/>
    <x v="0"/>
    <n v="9"/>
    <x v="1"/>
    <x v="8"/>
    <n v="2024"/>
  </r>
  <r>
    <x v="314"/>
    <s v="Brian Lewis"/>
    <x v="40"/>
    <x v="0"/>
    <x v="250"/>
    <d v="2025-08-20T00:00:00"/>
    <x v="1"/>
    <x v="31"/>
    <n v="4730.04"/>
    <x v="1"/>
    <x v="0"/>
    <n v="2"/>
    <x v="0"/>
    <x v="6"/>
    <n v="2025"/>
  </r>
  <r>
    <x v="315"/>
    <s v="Joseph Perez"/>
    <x v="70"/>
    <x v="0"/>
    <x v="238"/>
    <d v="2024-10-01T00:00:00"/>
    <x v="2"/>
    <x v="4"/>
    <n v="10303.59"/>
    <x v="5"/>
    <x v="1"/>
    <n v="7"/>
    <x v="0"/>
    <x v="21"/>
    <n v="2024"/>
  </r>
  <r>
    <x v="316"/>
    <s v="Anthony Walker"/>
    <x v="70"/>
    <x v="0"/>
    <x v="251"/>
    <d v="2024-06-10T00:00:00"/>
    <x v="2"/>
    <x v="21"/>
    <n v="7120.81"/>
    <x v="1"/>
    <x v="2"/>
    <n v="6"/>
    <x v="0"/>
    <x v="16"/>
    <n v="2024"/>
  </r>
  <r>
    <x v="317"/>
    <s v="Brian Lewis"/>
    <x v="15"/>
    <x v="0"/>
    <x v="252"/>
    <d v="2025-07-13T00:00:00"/>
    <x v="1"/>
    <x v="7"/>
    <n v="1418.29"/>
    <x v="1"/>
    <x v="0"/>
    <n v="1"/>
    <x v="3"/>
    <x v="22"/>
    <n v="2025"/>
  </r>
  <r>
    <x v="318"/>
    <s v="Brian Ramirez"/>
    <x v="41"/>
    <x v="0"/>
    <x v="59"/>
    <d v="2024-04-26T00:00:00"/>
    <x v="1"/>
    <x v="32"/>
    <n v="4818.3999999999996"/>
    <x v="0"/>
    <x v="0"/>
    <n v="3"/>
    <x v="1"/>
    <x v="2"/>
    <n v="2024"/>
  </r>
  <r>
    <x v="319"/>
    <s v="James Wilson"/>
    <x v="38"/>
    <x v="0"/>
    <x v="233"/>
    <d v="2024-02-22T00:00:00"/>
    <x v="1"/>
    <x v="2"/>
    <n v="1333.29"/>
    <x v="5"/>
    <x v="0"/>
    <n v="1"/>
    <x v="0"/>
    <x v="5"/>
    <n v="2024"/>
  </r>
  <r>
    <x v="320"/>
    <s v="Ashley Jackson"/>
    <x v="51"/>
    <x v="1"/>
    <x v="253"/>
    <d v="2025-03-28T00:00:00"/>
    <x v="1"/>
    <x v="32"/>
    <n v="1437.43"/>
    <x v="6"/>
    <x v="0"/>
    <n v="1"/>
    <x v="2"/>
    <x v="1"/>
    <n v="2025"/>
  </r>
  <r>
    <x v="321"/>
    <s v="James Thomas"/>
    <x v="40"/>
    <x v="0"/>
    <x v="254"/>
    <d v="2025-06-14T00:00:00"/>
    <x v="2"/>
    <x v="16"/>
    <n v="2608.29"/>
    <x v="2"/>
    <x v="0"/>
    <n v="3"/>
    <x v="0"/>
    <x v="19"/>
    <n v="2025"/>
  </r>
  <r>
    <x v="322"/>
    <s v="Susan Lee"/>
    <x v="71"/>
    <x v="1"/>
    <x v="255"/>
    <d v="2024-05-18T00:00:00"/>
    <x v="3"/>
    <x v="25"/>
    <n v="6107.32"/>
    <x v="1"/>
    <x v="0"/>
    <n v="4"/>
    <x v="4"/>
    <x v="11"/>
    <n v="2024"/>
  </r>
  <r>
    <x v="323"/>
    <s v="Betty Jones"/>
    <x v="45"/>
    <x v="1"/>
    <x v="256"/>
    <d v="2024-03-09T00:00:00"/>
    <x v="3"/>
    <x v="23"/>
    <n v="763.74"/>
    <x v="3"/>
    <x v="1"/>
    <n v="1"/>
    <x v="4"/>
    <x v="15"/>
    <n v="2024"/>
  </r>
  <r>
    <x v="324"/>
    <s v="Lisa Martinez"/>
    <x v="68"/>
    <x v="1"/>
    <x v="257"/>
    <d v="2025-06-30T00:00:00"/>
    <x v="3"/>
    <x v="24"/>
    <n v="8208.35"/>
    <x v="2"/>
    <x v="2"/>
    <n v="5"/>
    <x v="4"/>
    <x v="19"/>
    <n v="2025"/>
  </r>
  <r>
    <x v="325"/>
    <s v="Ashley Martin"/>
    <x v="82"/>
    <x v="1"/>
    <x v="258"/>
    <d v="2024-07-25T00:00:00"/>
    <x v="4"/>
    <x v="26"/>
    <n v="20575.84"/>
    <x v="1"/>
    <x v="1"/>
    <n v="14"/>
    <x v="2"/>
    <x v="0"/>
    <n v="2024"/>
  </r>
  <r>
    <x v="326"/>
    <s v="Kevin Lopez"/>
    <x v="37"/>
    <x v="0"/>
    <x v="220"/>
    <d v="2025-07-28T00:00:00"/>
    <x v="3"/>
    <x v="22"/>
    <n v="5295.19"/>
    <x v="3"/>
    <x v="0"/>
    <n v="3"/>
    <x v="4"/>
    <x v="22"/>
    <n v="2025"/>
  </r>
  <r>
    <x v="327"/>
    <s v="Betty Harris"/>
    <x v="17"/>
    <x v="1"/>
    <x v="259"/>
    <d v="2025-11-21T00:00:00"/>
    <x v="4"/>
    <x v="13"/>
    <n v="23024.560000000001"/>
    <x v="5"/>
    <x v="1"/>
    <n v="9"/>
    <x v="3"/>
    <x v="7"/>
    <n v="2025"/>
  </r>
  <r>
    <x v="328"/>
    <s v="Linda Jackson"/>
    <x v="79"/>
    <x v="1"/>
    <x v="55"/>
    <d v="2025-05-08T00:00:00"/>
    <x v="1"/>
    <x v="36"/>
    <n v="7452.68"/>
    <x v="5"/>
    <x v="0"/>
    <n v="3"/>
    <x v="2"/>
    <x v="13"/>
    <n v="2025"/>
  </r>
  <r>
    <x v="329"/>
    <s v="Matthew Clark"/>
    <x v="64"/>
    <x v="0"/>
    <x v="260"/>
    <d v="2024-03-11T00:00:00"/>
    <x v="5"/>
    <x v="34"/>
    <n v="10908.13"/>
    <x v="0"/>
    <x v="0"/>
    <n v="8"/>
    <x v="1"/>
    <x v="15"/>
    <n v="2024"/>
  </r>
  <r>
    <x v="330"/>
    <s v="Christopher Johnson"/>
    <x v="69"/>
    <x v="0"/>
    <x v="59"/>
    <d v="2024-04-29T00:00:00"/>
    <x v="2"/>
    <x v="21"/>
    <n v="7501.37"/>
    <x v="5"/>
    <x v="2"/>
    <n v="6"/>
    <x v="2"/>
    <x v="2"/>
    <n v="2024"/>
  </r>
  <r>
    <x v="331"/>
    <s v="Sarah Davis"/>
    <x v="28"/>
    <x v="1"/>
    <x v="58"/>
    <d v="2025-04-25T00:00:00"/>
    <x v="1"/>
    <x v="36"/>
    <n v="1264.69"/>
    <x v="3"/>
    <x v="0"/>
    <n v="1"/>
    <x v="0"/>
    <x v="18"/>
    <n v="2025"/>
  </r>
  <r>
    <x v="332"/>
    <s v="Susan Martin"/>
    <x v="36"/>
    <x v="1"/>
    <x v="102"/>
    <d v="2024-05-19T00:00:00"/>
    <x v="4"/>
    <x v="13"/>
    <n v="26730.35"/>
    <x v="2"/>
    <x v="1"/>
    <n v="11"/>
    <x v="0"/>
    <x v="11"/>
    <n v="2024"/>
  </r>
  <r>
    <x v="333"/>
    <s v="Michelle Garcia"/>
    <x v="0"/>
    <x v="1"/>
    <x v="261"/>
    <d v="2025-04-02T00:00:00"/>
    <x v="5"/>
    <x v="17"/>
    <n v="6655.97"/>
    <x v="0"/>
    <x v="1"/>
    <n v="3"/>
    <x v="0"/>
    <x v="1"/>
    <n v="2025"/>
  </r>
  <r>
    <x v="334"/>
    <s v="Matthew Garcia"/>
    <x v="39"/>
    <x v="0"/>
    <x v="260"/>
    <d v="2024-03-11T00:00:00"/>
    <x v="0"/>
    <x v="20"/>
    <n v="11856.84"/>
    <x v="5"/>
    <x v="1"/>
    <n v="8"/>
    <x v="0"/>
    <x v="15"/>
    <n v="2024"/>
  </r>
  <r>
    <x v="335"/>
    <s v="David Clark"/>
    <x v="61"/>
    <x v="0"/>
    <x v="262"/>
    <d v="2025-04-21T00:00:00"/>
    <x v="1"/>
    <x v="36"/>
    <n v="1625.38"/>
    <x v="1"/>
    <x v="0"/>
    <n v="1"/>
    <x v="3"/>
    <x v="18"/>
    <n v="2025"/>
  </r>
  <r>
    <x v="336"/>
    <s v="Andrew Moore"/>
    <x v="48"/>
    <x v="0"/>
    <x v="263"/>
    <d v="2025-12-11T00:00:00"/>
    <x v="0"/>
    <x v="6"/>
    <n v="10880.84"/>
    <x v="1"/>
    <x v="0"/>
    <n v="6"/>
    <x v="1"/>
    <x v="9"/>
    <n v="2025"/>
  </r>
  <r>
    <x v="337"/>
    <s v="Christopher Davis"/>
    <x v="26"/>
    <x v="0"/>
    <x v="264"/>
    <d v="2025-10-11T00:00:00"/>
    <x v="2"/>
    <x v="21"/>
    <n v="1151.51"/>
    <x v="3"/>
    <x v="1"/>
    <n v="1"/>
    <x v="1"/>
    <x v="14"/>
    <n v="2025"/>
  </r>
  <r>
    <x v="338"/>
    <s v="Elizabeth Harris"/>
    <x v="42"/>
    <x v="1"/>
    <x v="265"/>
    <d v="2024-05-29T00:00:00"/>
    <x v="0"/>
    <x v="6"/>
    <n v="13660.38"/>
    <x v="4"/>
    <x v="1"/>
    <n v="7"/>
    <x v="3"/>
    <x v="11"/>
    <n v="2024"/>
  </r>
  <r>
    <x v="339"/>
    <s v="William Perez"/>
    <x v="7"/>
    <x v="0"/>
    <x v="266"/>
    <d v="2025-01-19T00:00:00"/>
    <x v="2"/>
    <x v="21"/>
    <n v="5372.91"/>
    <x v="3"/>
    <x v="0"/>
    <n v="4"/>
    <x v="2"/>
    <x v="17"/>
    <n v="2025"/>
  </r>
  <r>
    <x v="340"/>
    <s v="Kenneth Smith"/>
    <x v="43"/>
    <x v="0"/>
    <x v="267"/>
    <d v="2024-03-09T00:00:00"/>
    <x v="3"/>
    <x v="37"/>
    <n v="5108.66"/>
    <x v="1"/>
    <x v="0"/>
    <n v="3"/>
    <x v="4"/>
    <x v="15"/>
    <n v="2024"/>
  </r>
  <r>
    <x v="341"/>
    <s v="Sarah Robinson"/>
    <x v="67"/>
    <x v="1"/>
    <x v="80"/>
    <d v="2025-05-04T00:00:00"/>
    <x v="1"/>
    <x v="32"/>
    <n v="4730.3599999999997"/>
    <x v="3"/>
    <x v="0"/>
    <n v="3"/>
    <x v="1"/>
    <x v="13"/>
    <n v="2025"/>
  </r>
  <r>
    <x v="342"/>
    <s v="Jennifer Lopez"/>
    <x v="0"/>
    <x v="1"/>
    <x v="268"/>
    <d v="2025-01-16T00:00:00"/>
    <x v="2"/>
    <x v="8"/>
    <n v="4389.91"/>
    <x v="1"/>
    <x v="0"/>
    <n v="3"/>
    <x v="0"/>
    <x v="17"/>
    <n v="2025"/>
  </r>
  <r>
    <x v="343"/>
    <s v="Sandra Robinson"/>
    <x v="53"/>
    <x v="1"/>
    <x v="269"/>
    <d v="2025-09-14T00:00:00"/>
    <x v="4"/>
    <x v="13"/>
    <n v="8536.89"/>
    <x v="1"/>
    <x v="0"/>
    <n v="8"/>
    <x v="3"/>
    <x v="20"/>
    <n v="2025"/>
  </r>
  <r>
    <x v="344"/>
    <s v="Kimberly White"/>
    <x v="72"/>
    <x v="1"/>
    <x v="200"/>
    <d v="2024-10-18T00:00:00"/>
    <x v="3"/>
    <x v="25"/>
    <n v="3347.44"/>
    <x v="2"/>
    <x v="2"/>
    <n v="5"/>
    <x v="4"/>
    <x v="3"/>
    <n v="2024"/>
  </r>
  <r>
    <x v="345"/>
    <s v="Susan Jackson"/>
    <x v="0"/>
    <x v="1"/>
    <x v="270"/>
    <d v="2025-10-13T00:00:00"/>
    <x v="0"/>
    <x v="29"/>
    <n v="15565.46"/>
    <x v="5"/>
    <x v="1"/>
    <n v="6"/>
    <x v="0"/>
    <x v="14"/>
    <n v="2025"/>
  </r>
  <r>
    <x v="346"/>
    <s v="Robert Martin"/>
    <x v="24"/>
    <x v="0"/>
    <x v="40"/>
    <d v="2025-11-25T00:00:00"/>
    <x v="2"/>
    <x v="21"/>
    <n v="4507.1400000000003"/>
    <x v="1"/>
    <x v="2"/>
    <n v="7"/>
    <x v="0"/>
    <x v="7"/>
    <n v="2025"/>
  </r>
  <r>
    <x v="347"/>
    <s v="Brian Robinson"/>
    <x v="1"/>
    <x v="0"/>
    <x v="271"/>
    <d v="2025-07-17T00:00:00"/>
    <x v="0"/>
    <x v="0"/>
    <n v="10788.07"/>
    <x v="5"/>
    <x v="1"/>
    <n v="7"/>
    <x v="0"/>
    <x v="22"/>
    <n v="2025"/>
  </r>
  <r>
    <x v="348"/>
    <s v="Andrew Lewis"/>
    <x v="6"/>
    <x v="0"/>
    <x v="272"/>
    <d v="2024-05-28T00:00:00"/>
    <x v="0"/>
    <x v="1"/>
    <n v="26034.080000000002"/>
    <x v="1"/>
    <x v="0"/>
    <n v="9"/>
    <x v="3"/>
    <x v="11"/>
    <n v="2024"/>
  </r>
  <r>
    <x v="349"/>
    <s v="Kenneth Taylor"/>
    <x v="22"/>
    <x v="0"/>
    <x v="273"/>
    <d v="2024-08-29T00:00:00"/>
    <x v="0"/>
    <x v="20"/>
    <n v="10409.19"/>
    <x v="3"/>
    <x v="2"/>
    <n v="8"/>
    <x v="3"/>
    <x v="8"/>
    <n v="2024"/>
  </r>
  <r>
    <x v="350"/>
    <s v="Jennifer Hernandez"/>
    <x v="1"/>
    <x v="1"/>
    <x v="274"/>
    <d v="2024-08-03T00:00:00"/>
    <x v="1"/>
    <x v="36"/>
    <n v="1428.8"/>
    <x v="1"/>
    <x v="1"/>
    <n v="1"/>
    <x v="0"/>
    <x v="8"/>
    <n v="2024"/>
  </r>
  <r>
    <x v="351"/>
    <s v="Sarah Anderson"/>
    <x v="32"/>
    <x v="1"/>
    <x v="136"/>
    <d v="2025-05-25T00:00:00"/>
    <x v="1"/>
    <x v="31"/>
    <n v="6491.42"/>
    <x v="2"/>
    <x v="2"/>
    <n v="3"/>
    <x v="1"/>
    <x v="13"/>
    <n v="2025"/>
  </r>
  <r>
    <x v="352"/>
    <s v="Mary Martinez"/>
    <x v="64"/>
    <x v="1"/>
    <x v="275"/>
    <d v="2025-03-23T00:00:00"/>
    <x v="1"/>
    <x v="32"/>
    <n v="2816.11"/>
    <x v="1"/>
    <x v="2"/>
    <n v="3"/>
    <x v="1"/>
    <x v="1"/>
    <n v="2025"/>
  </r>
  <r>
    <x v="353"/>
    <s v="Matthew Clark"/>
    <x v="72"/>
    <x v="0"/>
    <x v="77"/>
    <d v="2025-12-03T00:00:00"/>
    <x v="3"/>
    <x v="23"/>
    <n v="6337.74"/>
    <x v="0"/>
    <x v="1"/>
    <n v="5"/>
    <x v="4"/>
    <x v="7"/>
    <n v="2025"/>
  </r>
  <r>
    <x v="354"/>
    <s v="Lisa Thomas"/>
    <x v="47"/>
    <x v="1"/>
    <x v="276"/>
    <d v="2024-04-23T00:00:00"/>
    <x v="2"/>
    <x v="16"/>
    <n v="8162.88"/>
    <x v="0"/>
    <x v="0"/>
    <n v="7"/>
    <x v="3"/>
    <x v="2"/>
    <n v="2024"/>
  </r>
  <r>
    <x v="355"/>
    <s v="Thomas Williams"/>
    <x v="26"/>
    <x v="0"/>
    <x v="24"/>
    <d v="2025-02-20T00:00:00"/>
    <x v="2"/>
    <x v="5"/>
    <n v="2495.13"/>
    <x v="5"/>
    <x v="0"/>
    <n v="2"/>
    <x v="1"/>
    <x v="10"/>
    <n v="2025"/>
  </r>
  <r>
    <x v="356"/>
    <s v="Ashley Martinez"/>
    <x v="43"/>
    <x v="1"/>
    <x v="277"/>
    <d v="2024-06-12T00:00:00"/>
    <x v="3"/>
    <x v="23"/>
    <n v="1054.1400000000001"/>
    <x v="4"/>
    <x v="1"/>
    <n v="1"/>
    <x v="4"/>
    <x v="16"/>
    <n v="2024"/>
  </r>
  <r>
    <x v="357"/>
    <s v="Mary Ramirez"/>
    <x v="32"/>
    <x v="1"/>
    <x v="261"/>
    <d v="2025-03-31T00:00:00"/>
    <x v="1"/>
    <x v="15"/>
    <n v="1251.25"/>
    <x v="1"/>
    <x v="0"/>
    <n v="1"/>
    <x v="1"/>
    <x v="1"/>
    <n v="2025"/>
  </r>
  <r>
    <x v="358"/>
    <s v="Kenneth Miller"/>
    <x v="5"/>
    <x v="0"/>
    <x v="275"/>
    <d v="2025-03-26T00:00:00"/>
    <x v="0"/>
    <x v="20"/>
    <n v="16598.080000000002"/>
    <x v="1"/>
    <x v="0"/>
    <n v="6"/>
    <x v="0"/>
    <x v="1"/>
    <n v="2025"/>
  </r>
  <r>
    <x v="359"/>
    <s v="Emily Hernandez"/>
    <x v="6"/>
    <x v="1"/>
    <x v="278"/>
    <d v="2024-10-08T00:00:00"/>
    <x v="2"/>
    <x v="33"/>
    <n v="4875.57"/>
    <x v="3"/>
    <x v="0"/>
    <n v="4"/>
    <x v="3"/>
    <x v="3"/>
    <n v="2024"/>
  </r>
  <r>
    <x v="360"/>
    <s v="Paul Perez"/>
    <x v="5"/>
    <x v="0"/>
    <x v="279"/>
    <d v="2025-12-07T00:00:00"/>
    <x v="5"/>
    <x v="34"/>
    <n v="12181.3"/>
    <x v="4"/>
    <x v="0"/>
    <n v="5"/>
    <x v="0"/>
    <x v="9"/>
    <n v="2025"/>
  </r>
  <r>
    <x v="361"/>
    <s v="James Harris"/>
    <x v="8"/>
    <x v="0"/>
    <x v="280"/>
    <d v="2025-07-25T00:00:00"/>
    <x v="1"/>
    <x v="31"/>
    <n v="2262.27"/>
    <x v="6"/>
    <x v="0"/>
    <n v="1"/>
    <x v="0"/>
    <x v="22"/>
    <n v="2025"/>
  </r>
  <r>
    <x v="362"/>
    <s v="Kevin Thompson"/>
    <x v="41"/>
    <x v="0"/>
    <x v="281"/>
    <d v="2025-05-16T00:00:00"/>
    <x v="5"/>
    <x v="28"/>
    <n v="15249.23"/>
    <x v="0"/>
    <x v="0"/>
    <n v="6"/>
    <x v="1"/>
    <x v="13"/>
    <n v="2025"/>
  </r>
  <r>
    <x v="363"/>
    <s v="Elizabeth Hernandez"/>
    <x v="7"/>
    <x v="1"/>
    <x v="282"/>
    <d v="2024-02-06T00:00:00"/>
    <x v="2"/>
    <x v="16"/>
    <n v="3947.95"/>
    <x v="1"/>
    <x v="0"/>
    <n v="3"/>
    <x v="2"/>
    <x v="5"/>
    <n v="2024"/>
  </r>
  <r>
    <x v="364"/>
    <s v="Anthony White"/>
    <x v="8"/>
    <x v="0"/>
    <x v="283"/>
    <d v="2024-11-09T00:00:00"/>
    <x v="4"/>
    <x v="11"/>
    <n v="35549.129999999997"/>
    <x v="6"/>
    <x v="1"/>
    <n v="13"/>
    <x v="0"/>
    <x v="3"/>
    <n v="2024"/>
  </r>
  <r>
    <x v="365"/>
    <s v="Richard Lewis"/>
    <x v="59"/>
    <x v="0"/>
    <x v="284"/>
    <d v="2025-02-08T00:00:00"/>
    <x v="3"/>
    <x v="23"/>
    <n v="7038.14"/>
    <x v="5"/>
    <x v="2"/>
    <n v="4"/>
    <x v="4"/>
    <x v="10"/>
    <n v="2025"/>
  </r>
  <r>
    <x v="366"/>
    <s v="Andrew Williams"/>
    <x v="41"/>
    <x v="0"/>
    <x v="285"/>
    <d v="2025-11-19T00:00:00"/>
    <x v="0"/>
    <x v="29"/>
    <n v="14877.84"/>
    <x v="6"/>
    <x v="1"/>
    <n v="9"/>
    <x v="1"/>
    <x v="7"/>
    <n v="2025"/>
  </r>
  <r>
    <x v="367"/>
    <s v="James Wilson"/>
    <x v="81"/>
    <x v="0"/>
    <x v="286"/>
    <d v="2025-07-18T00:00:00"/>
    <x v="4"/>
    <x v="11"/>
    <n v="14678.51"/>
    <x v="0"/>
    <x v="1"/>
    <n v="11"/>
    <x v="2"/>
    <x v="22"/>
    <n v="2025"/>
  </r>
  <r>
    <x v="368"/>
    <s v="Brian Garcia"/>
    <x v="18"/>
    <x v="0"/>
    <x v="287"/>
    <d v="2025-12-13T00:00:00"/>
    <x v="1"/>
    <x v="31"/>
    <n v="3466.32"/>
    <x v="5"/>
    <x v="0"/>
    <n v="2"/>
    <x v="3"/>
    <x v="9"/>
    <n v="2025"/>
  </r>
  <r>
    <x v="369"/>
    <s v="Joshua Miller"/>
    <x v="8"/>
    <x v="0"/>
    <x v="81"/>
    <d v="2024-09-09T00:00:00"/>
    <x v="4"/>
    <x v="18"/>
    <n v="21123.25"/>
    <x v="1"/>
    <x v="0"/>
    <n v="14"/>
    <x v="0"/>
    <x v="8"/>
    <n v="2024"/>
  </r>
  <r>
    <x v="370"/>
    <s v="Robert Smith"/>
    <x v="9"/>
    <x v="0"/>
    <x v="1"/>
    <d v="2025-03-18T00:00:00"/>
    <x v="3"/>
    <x v="22"/>
    <n v="5585.79"/>
    <x v="2"/>
    <x v="2"/>
    <n v="5"/>
    <x v="4"/>
    <x v="1"/>
    <n v="2025"/>
  </r>
  <r>
    <x v="371"/>
    <s v="Barbara Smith"/>
    <x v="35"/>
    <x v="1"/>
    <x v="166"/>
    <d v="2024-09-18T00:00:00"/>
    <x v="2"/>
    <x v="16"/>
    <n v="6953.83"/>
    <x v="3"/>
    <x v="1"/>
    <n v="5"/>
    <x v="3"/>
    <x v="21"/>
    <n v="2024"/>
  </r>
  <r>
    <x v="372"/>
    <s v="Sandra Jones"/>
    <x v="79"/>
    <x v="1"/>
    <x v="76"/>
    <d v="2025-01-03T00:00:00"/>
    <x v="1"/>
    <x v="7"/>
    <n v="2224.13"/>
    <x v="5"/>
    <x v="0"/>
    <n v="1"/>
    <x v="2"/>
    <x v="17"/>
    <n v="2025"/>
  </r>
  <r>
    <x v="373"/>
    <s v="Matthew Anderson"/>
    <x v="52"/>
    <x v="0"/>
    <x v="288"/>
    <d v="2025-04-27T00:00:00"/>
    <x v="0"/>
    <x v="6"/>
    <n v="11111.41"/>
    <x v="5"/>
    <x v="0"/>
    <n v="6"/>
    <x v="1"/>
    <x v="18"/>
    <n v="2025"/>
  </r>
  <r>
    <x v="374"/>
    <s v="Andrew Williams"/>
    <x v="49"/>
    <x v="0"/>
    <x v="228"/>
    <d v="2024-09-19T00:00:00"/>
    <x v="2"/>
    <x v="8"/>
    <n v="8312.57"/>
    <x v="5"/>
    <x v="0"/>
    <n v="7"/>
    <x v="2"/>
    <x v="21"/>
    <n v="2024"/>
  </r>
  <r>
    <x v="375"/>
    <s v="Richard Young"/>
    <x v="19"/>
    <x v="0"/>
    <x v="289"/>
    <d v="2024-11-04T00:00:00"/>
    <x v="2"/>
    <x v="33"/>
    <n v="4633.5"/>
    <x v="3"/>
    <x v="0"/>
    <n v="5"/>
    <x v="3"/>
    <x v="3"/>
    <n v="2024"/>
  </r>
  <r>
    <x v="376"/>
    <s v="Betty Young"/>
    <x v="3"/>
    <x v="1"/>
    <x v="290"/>
    <d v="2024-10-28T00:00:00"/>
    <x v="4"/>
    <x v="14"/>
    <n v="6028.31"/>
    <x v="1"/>
    <x v="2"/>
    <n v="3"/>
    <x v="2"/>
    <x v="3"/>
    <n v="2024"/>
  </r>
  <r>
    <x v="377"/>
    <s v="James Jackson"/>
    <x v="40"/>
    <x v="0"/>
    <x v="291"/>
    <d v="2024-04-08T00:00:00"/>
    <x v="5"/>
    <x v="17"/>
    <n v="6224.81"/>
    <x v="5"/>
    <x v="2"/>
    <n v="5"/>
    <x v="0"/>
    <x v="2"/>
    <n v="2024"/>
  </r>
  <r>
    <x v="378"/>
    <s v="Richard Smith"/>
    <x v="22"/>
    <x v="0"/>
    <x v="12"/>
    <d v="2024-08-07T00:00:00"/>
    <x v="4"/>
    <x v="11"/>
    <n v="18959.16"/>
    <x v="0"/>
    <x v="0"/>
    <n v="11"/>
    <x v="3"/>
    <x v="0"/>
    <n v="2024"/>
  </r>
  <r>
    <x v="379"/>
    <s v="Carol Robinson"/>
    <x v="41"/>
    <x v="1"/>
    <x v="292"/>
    <d v="2024-03-29T00:00:00"/>
    <x v="2"/>
    <x v="4"/>
    <n v="2123.39"/>
    <x v="1"/>
    <x v="0"/>
    <n v="2"/>
    <x v="1"/>
    <x v="15"/>
    <n v="2024"/>
  </r>
  <r>
    <x v="380"/>
    <s v="Dorothy Hernandez"/>
    <x v="38"/>
    <x v="1"/>
    <x v="293"/>
    <d v="2024-09-02T00:00:00"/>
    <x v="4"/>
    <x v="14"/>
    <n v="4043.37"/>
    <x v="6"/>
    <x v="0"/>
    <n v="2"/>
    <x v="0"/>
    <x v="8"/>
    <n v="2024"/>
  </r>
  <r>
    <x v="381"/>
    <s v="Steven Martin"/>
    <x v="30"/>
    <x v="0"/>
    <x v="268"/>
    <d v="2025-01-14T00:00:00"/>
    <x v="3"/>
    <x v="24"/>
    <n v="843.6"/>
    <x v="5"/>
    <x v="2"/>
    <n v="1"/>
    <x v="4"/>
    <x v="17"/>
    <n v="2025"/>
  </r>
  <r>
    <x v="382"/>
    <s v="Linda Hernandez"/>
    <x v="35"/>
    <x v="1"/>
    <x v="180"/>
    <d v="2025-12-25T00:00:00"/>
    <x v="2"/>
    <x v="21"/>
    <n v="2561.88"/>
    <x v="5"/>
    <x v="0"/>
    <n v="4"/>
    <x v="3"/>
    <x v="9"/>
    <n v="2025"/>
  </r>
  <r>
    <x v="383"/>
    <s v="Sarah Lopez"/>
    <x v="7"/>
    <x v="1"/>
    <x v="294"/>
    <d v="2024-01-03T00:00:00"/>
    <x v="1"/>
    <x v="3"/>
    <n v="1511.32"/>
    <x v="1"/>
    <x v="1"/>
    <n v="1"/>
    <x v="2"/>
    <x v="23"/>
    <n v="2024"/>
  </r>
  <r>
    <x v="384"/>
    <s v="Daniel Anderson"/>
    <x v="55"/>
    <x v="0"/>
    <x v="295"/>
    <d v="2025-10-14T00:00:00"/>
    <x v="4"/>
    <x v="11"/>
    <n v="27685.69"/>
    <x v="5"/>
    <x v="0"/>
    <n v="14"/>
    <x v="0"/>
    <x v="20"/>
    <n v="2025"/>
  </r>
  <r>
    <x v="385"/>
    <s v="Matthew Martinez"/>
    <x v="12"/>
    <x v="0"/>
    <x v="217"/>
    <d v="2024-10-30T00:00:00"/>
    <x v="2"/>
    <x v="16"/>
    <n v="3028.33"/>
    <x v="5"/>
    <x v="1"/>
    <n v="4"/>
    <x v="2"/>
    <x v="3"/>
    <n v="2024"/>
  </r>
  <r>
    <x v="386"/>
    <s v="Mark Walker"/>
    <x v="14"/>
    <x v="0"/>
    <x v="51"/>
    <d v="2025-04-18T00:00:00"/>
    <x v="4"/>
    <x v="13"/>
    <n v="37544.019999999997"/>
    <x v="1"/>
    <x v="0"/>
    <n v="14"/>
    <x v="1"/>
    <x v="18"/>
    <n v="2025"/>
  </r>
  <r>
    <x v="387"/>
    <s v="Christopher Clark"/>
    <x v="29"/>
    <x v="0"/>
    <x v="296"/>
    <d v="2024-06-08T00:00:00"/>
    <x v="5"/>
    <x v="28"/>
    <n v="17899.3"/>
    <x v="5"/>
    <x v="2"/>
    <n v="7"/>
    <x v="2"/>
    <x v="16"/>
    <n v="2024"/>
  </r>
  <r>
    <x v="388"/>
    <s v="Joseph Lee"/>
    <x v="73"/>
    <x v="0"/>
    <x v="216"/>
    <d v="2025-12-22T00:00:00"/>
    <x v="3"/>
    <x v="9"/>
    <n v="5297.21"/>
    <x v="1"/>
    <x v="0"/>
    <n v="3"/>
    <x v="4"/>
    <x v="9"/>
    <n v="2025"/>
  </r>
  <r>
    <x v="389"/>
    <s v="Steven Wilson"/>
    <x v="6"/>
    <x v="0"/>
    <x v="297"/>
    <d v="2024-01-22T00:00:00"/>
    <x v="0"/>
    <x v="19"/>
    <n v="10640.24"/>
    <x v="2"/>
    <x v="2"/>
    <n v="8"/>
    <x v="3"/>
    <x v="23"/>
    <n v="2024"/>
  </r>
  <r>
    <x v="390"/>
    <s v="Mary Martin"/>
    <x v="11"/>
    <x v="1"/>
    <x v="37"/>
    <d v="2024-12-13T00:00:00"/>
    <x v="5"/>
    <x v="12"/>
    <n v="3660.71"/>
    <x v="5"/>
    <x v="2"/>
    <n v="3"/>
    <x v="3"/>
    <x v="12"/>
    <n v="2024"/>
  </r>
  <r>
    <x v="391"/>
    <s v="Jennifer Harris"/>
    <x v="18"/>
    <x v="1"/>
    <x v="298"/>
    <d v="2025-10-17T00:00:00"/>
    <x v="5"/>
    <x v="17"/>
    <n v="10028.68"/>
    <x v="1"/>
    <x v="1"/>
    <n v="6"/>
    <x v="3"/>
    <x v="14"/>
    <n v="2025"/>
  </r>
  <r>
    <x v="392"/>
    <s v="Karen Thompson"/>
    <x v="65"/>
    <x v="1"/>
    <x v="101"/>
    <d v="2024-01-10T00:00:00"/>
    <x v="3"/>
    <x v="25"/>
    <n v="7238.61"/>
    <x v="4"/>
    <x v="1"/>
    <n v="5"/>
    <x v="4"/>
    <x v="23"/>
    <n v="2024"/>
  </r>
  <r>
    <x v="393"/>
    <s v="Sarah Harris"/>
    <x v="3"/>
    <x v="1"/>
    <x v="299"/>
    <d v="2024-01-02T00:00:00"/>
    <x v="2"/>
    <x v="8"/>
    <n v="969.55"/>
    <x v="3"/>
    <x v="0"/>
    <n v="1"/>
    <x v="2"/>
    <x v="23"/>
    <n v="2024"/>
  </r>
  <r>
    <x v="394"/>
    <s v="Steven Young"/>
    <x v="39"/>
    <x v="0"/>
    <x v="12"/>
    <d v="2024-08-06T00:00:00"/>
    <x v="0"/>
    <x v="1"/>
    <n v="29016.400000000001"/>
    <x v="5"/>
    <x v="0"/>
    <n v="10"/>
    <x v="0"/>
    <x v="0"/>
    <n v="2024"/>
  </r>
  <r>
    <x v="395"/>
    <s v="Dorothy Clark"/>
    <x v="56"/>
    <x v="1"/>
    <x v="300"/>
    <d v="2025-07-23T00:00:00"/>
    <x v="3"/>
    <x v="22"/>
    <n v="6415.8"/>
    <x v="1"/>
    <x v="0"/>
    <n v="4"/>
    <x v="4"/>
    <x v="22"/>
    <n v="2025"/>
  </r>
  <r>
    <x v="396"/>
    <s v="Anthony Lewis"/>
    <x v="36"/>
    <x v="0"/>
    <x v="87"/>
    <d v="2024-12-25T00:00:00"/>
    <x v="0"/>
    <x v="19"/>
    <n v="12816.46"/>
    <x v="4"/>
    <x v="0"/>
    <n v="5"/>
    <x v="0"/>
    <x v="12"/>
    <n v="2024"/>
  </r>
  <r>
    <x v="397"/>
    <s v="Jennifer Miller"/>
    <x v="41"/>
    <x v="1"/>
    <x v="301"/>
    <d v="2024-10-20T00:00:00"/>
    <x v="0"/>
    <x v="29"/>
    <n v="7577.11"/>
    <x v="1"/>
    <x v="0"/>
    <n v="3"/>
    <x v="1"/>
    <x v="3"/>
    <n v="2024"/>
  </r>
  <r>
    <x v="398"/>
    <s v="Robert White"/>
    <x v="17"/>
    <x v="0"/>
    <x v="302"/>
    <d v="2024-12-16T00:00:00"/>
    <x v="1"/>
    <x v="31"/>
    <n v="1670.53"/>
    <x v="1"/>
    <x v="0"/>
    <n v="1"/>
    <x v="3"/>
    <x v="12"/>
    <n v="2024"/>
  </r>
  <r>
    <x v="399"/>
    <s v="Anthony Clark"/>
    <x v="23"/>
    <x v="0"/>
    <x v="115"/>
    <d v="2024-04-16T00:00:00"/>
    <x v="4"/>
    <x v="13"/>
    <n v="19956.13"/>
    <x v="6"/>
    <x v="0"/>
    <n v="8"/>
    <x v="0"/>
    <x v="2"/>
    <n v="2024"/>
  </r>
  <r>
    <x v="400"/>
    <s v="Steven Thomas"/>
    <x v="32"/>
    <x v="0"/>
    <x v="303"/>
    <d v="2024-05-31T00:00:00"/>
    <x v="1"/>
    <x v="15"/>
    <n v="2111.6799999999998"/>
    <x v="3"/>
    <x v="0"/>
    <n v="2"/>
    <x v="1"/>
    <x v="11"/>
    <n v="2024"/>
  </r>
  <r>
    <x v="401"/>
    <s v="Elizabeth Martin"/>
    <x v="11"/>
    <x v="1"/>
    <x v="304"/>
    <d v="2024-02-20T00:00:00"/>
    <x v="4"/>
    <x v="27"/>
    <n v="9466.9"/>
    <x v="5"/>
    <x v="2"/>
    <n v="6"/>
    <x v="3"/>
    <x v="5"/>
    <n v="2024"/>
  </r>
  <r>
    <x v="402"/>
    <s v="Sandra Lopez"/>
    <x v="18"/>
    <x v="1"/>
    <x v="305"/>
    <d v="2024-01-13T00:00:00"/>
    <x v="5"/>
    <x v="30"/>
    <n v="20681.509999999998"/>
    <x v="3"/>
    <x v="0"/>
    <n v="10"/>
    <x v="3"/>
    <x v="23"/>
    <n v="2024"/>
  </r>
  <r>
    <x v="403"/>
    <s v="William Lewis"/>
    <x v="72"/>
    <x v="0"/>
    <x v="306"/>
    <d v="2025-04-07T00:00:00"/>
    <x v="3"/>
    <x v="25"/>
    <n v="2556.54"/>
    <x v="6"/>
    <x v="0"/>
    <n v="4"/>
    <x v="4"/>
    <x v="18"/>
    <n v="2025"/>
  </r>
  <r>
    <x v="404"/>
    <s v="William Ramirez"/>
    <x v="13"/>
    <x v="0"/>
    <x v="256"/>
    <d v="2024-03-16T00:00:00"/>
    <x v="5"/>
    <x v="12"/>
    <n v="20496.009999999998"/>
    <x v="6"/>
    <x v="1"/>
    <n v="8"/>
    <x v="1"/>
    <x v="15"/>
    <n v="2024"/>
  </r>
  <r>
    <x v="405"/>
    <s v="Christopher Ramirez"/>
    <x v="37"/>
    <x v="0"/>
    <x v="59"/>
    <d v="2024-04-24T00:00:00"/>
    <x v="3"/>
    <x v="9"/>
    <n v="1269.22"/>
    <x v="3"/>
    <x v="0"/>
    <n v="1"/>
    <x v="4"/>
    <x v="2"/>
    <n v="2024"/>
  </r>
  <r>
    <x v="406"/>
    <s v="Susan Jones"/>
    <x v="76"/>
    <x v="1"/>
    <x v="307"/>
    <d v="2024-09-01T00:00:00"/>
    <x v="4"/>
    <x v="11"/>
    <n v="14175.59"/>
    <x v="5"/>
    <x v="2"/>
    <n v="9"/>
    <x v="1"/>
    <x v="8"/>
    <n v="2024"/>
  </r>
  <r>
    <x v="407"/>
    <s v="Michelle Rodriguez"/>
    <x v="19"/>
    <x v="1"/>
    <x v="286"/>
    <d v="2025-07-09T00:00:00"/>
    <x v="1"/>
    <x v="36"/>
    <n v="2258.0700000000002"/>
    <x v="1"/>
    <x v="0"/>
    <n v="2"/>
    <x v="3"/>
    <x v="22"/>
    <n v="2025"/>
  </r>
  <r>
    <x v="408"/>
    <s v="Michael Lopez"/>
    <x v="5"/>
    <x v="0"/>
    <x v="308"/>
    <d v="2025-11-20T00:00:00"/>
    <x v="2"/>
    <x v="21"/>
    <n v="1471.29"/>
    <x v="1"/>
    <x v="0"/>
    <n v="1"/>
    <x v="0"/>
    <x v="7"/>
    <n v="2025"/>
  </r>
  <r>
    <x v="409"/>
    <s v="Emily Thompson"/>
    <x v="9"/>
    <x v="1"/>
    <x v="309"/>
    <d v="2025-04-12T00:00:00"/>
    <x v="3"/>
    <x v="9"/>
    <n v="4671.33"/>
    <x v="5"/>
    <x v="0"/>
    <n v="4"/>
    <x v="4"/>
    <x v="18"/>
    <n v="2025"/>
  </r>
  <r>
    <x v="410"/>
    <s v="Richard Anderson"/>
    <x v="70"/>
    <x v="0"/>
    <x v="310"/>
    <d v="2025-12-27T00:00:00"/>
    <x v="1"/>
    <x v="3"/>
    <n v="3856.57"/>
    <x v="5"/>
    <x v="0"/>
    <n v="3"/>
    <x v="0"/>
    <x v="9"/>
    <n v="2025"/>
  </r>
  <r>
    <x v="411"/>
    <s v="Sarah Lopez"/>
    <x v="18"/>
    <x v="1"/>
    <x v="311"/>
    <d v="2025-11-18T00:00:00"/>
    <x v="0"/>
    <x v="20"/>
    <n v="22775.06"/>
    <x v="1"/>
    <x v="0"/>
    <n v="9"/>
    <x v="3"/>
    <x v="7"/>
    <n v="2025"/>
  </r>
  <r>
    <x v="412"/>
    <s v="Ashley Lee"/>
    <x v="5"/>
    <x v="1"/>
    <x v="188"/>
    <d v="2024-03-26T00:00:00"/>
    <x v="1"/>
    <x v="7"/>
    <n v="2542.9899999999998"/>
    <x v="0"/>
    <x v="1"/>
    <n v="2"/>
    <x v="0"/>
    <x v="15"/>
    <n v="2024"/>
  </r>
  <r>
    <x v="413"/>
    <s v="Karen Lewis"/>
    <x v="30"/>
    <x v="1"/>
    <x v="312"/>
    <d v="2025-07-06T00:00:00"/>
    <x v="3"/>
    <x v="22"/>
    <n v="7044.38"/>
    <x v="3"/>
    <x v="0"/>
    <n v="4"/>
    <x v="4"/>
    <x v="22"/>
    <n v="2025"/>
  </r>
  <r>
    <x v="414"/>
    <s v="Betty Ramirez"/>
    <x v="73"/>
    <x v="1"/>
    <x v="65"/>
    <d v="2025-04-07T00:00:00"/>
    <x v="3"/>
    <x v="25"/>
    <n v="3402.4"/>
    <x v="3"/>
    <x v="0"/>
    <n v="2"/>
    <x v="4"/>
    <x v="18"/>
    <n v="2025"/>
  </r>
  <r>
    <x v="415"/>
    <s v="Elizabeth Garcia"/>
    <x v="1"/>
    <x v="1"/>
    <x v="143"/>
    <d v="2024-09-10T00:00:00"/>
    <x v="4"/>
    <x v="27"/>
    <n v="13881.6"/>
    <x v="5"/>
    <x v="0"/>
    <n v="5"/>
    <x v="0"/>
    <x v="21"/>
    <n v="2024"/>
  </r>
  <r>
    <x v="416"/>
    <s v="Thomas Anderson"/>
    <x v="3"/>
    <x v="0"/>
    <x v="70"/>
    <d v="2025-04-03T00:00:00"/>
    <x v="2"/>
    <x v="33"/>
    <n v="1362.39"/>
    <x v="1"/>
    <x v="0"/>
    <n v="2"/>
    <x v="2"/>
    <x v="18"/>
    <n v="2025"/>
  </r>
  <r>
    <x v="417"/>
    <s v="Kenneth Lewis"/>
    <x v="59"/>
    <x v="0"/>
    <x v="313"/>
    <d v="2024-01-11T00:00:00"/>
    <x v="3"/>
    <x v="25"/>
    <n v="8510.7800000000007"/>
    <x v="5"/>
    <x v="0"/>
    <n v="5"/>
    <x v="4"/>
    <x v="23"/>
    <n v="2024"/>
  </r>
  <r>
    <x v="418"/>
    <s v="Kevin Wilson"/>
    <x v="13"/>
    <x v="0"/>
    <x v="314"/>
    <d v="2024-10-02T00:00:00"/>
    <x v="2"/>
    <x v="33"/>
    <n v="2154.9699999999998"/>
    <x v="3"/>
    <x v="0"/>
    <n v="3"/>
    <x v="1"/>
    <x v="21"/>
    <n v="2024"/>
  </r>
  <r>
    <x v="419"/>
    <s v="Jessica White"/>
    <x v="1"/>
    <x v="1"/>
    <x v="315"/>
    <d v="2024-05-19T00:00:00"/>
    <x v="2"/>
    <x v="33"/>
    <n v="1950"/>
    <x v="1"/>
    <x v="1"/>
    <n v="3"/>
    <x v="0"/>
    <x v="11"/>
    <n v="2024"/>
  </r>
  <r>
    <x v="420"/>
    <s v="Carol Lewis"/>
    <x v="67"/>
    <x v="1"/>
    <x v="13"/>
    <d v="2024-08-25T00:00:00"/>
    <x v="4"/>
    <x v="26"/>
    <n v="5004.03"/>
    <x v="6"/>
    <x v="0"/>
    <n v="5"/>
    <x v="1"/>
    <x v="8"/>
    <n v="2024"/>
  </r>
  <r>
    <x v="421"/>
    <s v="Joseph Robinson"/>
    <x v="39"/>
    <x v="0"/>
    <x v="316"/>
    <d v="2024-04-01T00:00:00"/>
    <x v="5"/>
    <x v="28"/>
    <n v="7752.04"/>
    <x v="3"/>
    <x v="0"/>
    <n v="7"/>
    <x v="0"/>
    <x v="15"/>
    <n v="2024"/>
  </r>
  <r>
    <x v="422"/>
    <s v="David Anderson"/>
    <x v="26"/>
    <x v="0"/>
    <x v="6"/>
    <d v="2024-02-14T00:00:00"/>
    <x v="4"/>
    <x v="18"/>
    <n v="6986.97"/>
    <x v="6"/>
    <x v="1"/>
    <n v="5"/>
    <x v="1"/>
    <x v="5"/>
    <n v="2024"/>
  </r>
  <r>
    <x v="423"/>
    <s v="William Anderson"/>
    <x v="24"/>
    <x v="0"/>
    <x v="46"/>
    <d v="2025-11-06T00:00:00"/>
    <x v="1"/>
    <x v="36"/>
    <n v="1744.21"/>
    <x v="1"/>
    <x v="1"/>
    <n v="1"/>
    <x v="0"/>
    <x v="7"/>
    <n v="2025"/>
  </r>
  <r>
    <x v="424"/>
    <s v="Ashley Ramirez"/>
    <x v="57"/>
    <x v="1"/>
    <x v="317"/>
    <d v="2024-01-29T00:00:00"/>
    <x v="4"/>
    <x v="27"/>
    <n v="23326.29"/>
    <x v="0"/>
    <x v="0"/>
    <n v="13"/>
    <x v="2"/>
    <x v="23"/>
    <n v="2024"/>
  </r>
  <r>
    <x v="425"/>
    <s v="Donna Ramirez"/>
    <x v="38"/>
    <x v="1"/>
    <x v="318"/>
    <d v="2025-10-02T00:00:00"/>
    <x v="2"/>
    <x v="5"/>
    <n v="5587.17"/>
    <x v="5"/>
    <x v="1"/>
    <n v="7"/>
    <x v="0"/>
    <x v="20"/>
    <n v="2025"/>
  </r>
  <r>
    <x v="426"/>
    <s v="Emily Walker"/>
    <x v="6"/>
    <x v="1"/>
    <x v="319"/>
    <d v="2025-06-01T00:00:00"/>
    <x v="4"/>
    <x v="26"/>
    <n v="19329.240000000002"/>
    <x v="1"/>
    <x v="0"/>
    <n v="13"/>
    <x v="3"/>
    <x v="13"/>
    <n v="2025"/>
  </r>
  <r>
    <x v="427"/>
    <s v="Matthew Jones"/>
    <x v="6"/>
    <x v="0"/>
    <x v="197"/>
    <d v="2025-02-22T00:00:00"/>
    <x v="0"/>
    <x v="0"/>
    <n v="20311.28"/>
    <x v="2"/>
    <x v="1"/>
    <n v="8"/>
    <x v="3"/>
    <x v="10"/>
    <n v="2025"/>
  </r>
  <r>
    <x v="428"/>
    <s v="Sandra Harris"/>
    <x v="32"/>
    <x v="1"/>
    <x v="225"/>
    <d v="2025-10-06T00:00:00"/>
    <x v="1"/>
    <x v="2"/>
    <n v="2647.99"/>
    <x v="1"/>
    <x v="1"/>
    <n v="3"/>
    <x v="1"/>
    <x v="14"/>
    <n v="2025"/>
  </r>
  <r>
    <x v="429"/>
    <s v="Linda Garcia"/>
    <x v="31"/>
    <x v="1"/>
    <x v="320"/>
    <d v="2025-12-16T00:00:00"/>
    <x v="3"/>
    <x v="23"/>
    <n v="3396.48"/>
    <x v="3"/>
    <x v="0"/>
    <n v="2"/>
    <x v="4"/>
    <x v="9"/>
    <n v="2025"/>
  </r>
  <r>
    <x v="430"/>
    <s v="James Clark"/>
    <x v="2"/>
    <x v="0"/>
    <x v="321"/>
    <d v="2024-02-26T00:00:00"/>
    <x v="2"/>
    <x v="16"/>
    <n v="9947.52"/>
    <x v="0"/>
    <x v="1"/>
    <n v="7"/>
    <x v="1"/>
    <x v="5"/>
    <n v="2024"/>
  </r>
  <r>
    <x v="431"/>
    <s v="Lisa Jones"/>
    <x v="73"/>
    <x v="1"/>
    <x v="123"/>
    <d v="2024-06-17T00:00:00"/>
    <x v="3"/>
    <x v="24"/>
    <n v="2103.42"/>
    <x v="0"/>
    <x v="1"/>
    <n v="2"/>
    <x v="4"/>
    <x v="16"/>
    <n v="2024"/>
  </r>
  <r>
    <x v="432"/>
    <s v="Barbara Martinez"/>
    <x v="63"/>
    <x v="1"/>
    <x v="322"/>
    <d v="2024-07-13T00:00:00"/>
    <x v="4"/>
    <x v="18"/>
    <n v="20914.48"/>
    <x v="4"/>
    <x v="1"/>
    <n v="10"/>
    <x v="3"/>
    <x v="0"/>
    <n v="2024"/>
  </r>
  <r>
    <x v="433"/>
    <s v="James Young"/>
    <x v="0"/>
    <x v="0"/>
    <x v="323"/>
    <d v="2024-08-17T00:00:00"/>
    <x v="4"/>
    <x v="18"/>
    <n v="16613.29"/>
    <x v="0"/>
    <x v="2"/>
    <n v="11"/>
    <x v="0"/>
    <x v="8"/>
    <n v="2024"/>
  </r>
  <r>
    <x v="434"/>
    <s v="Sarah Perez"/>
    <x v="1"/>
    <x v="1"/>
    <x v="324"/>
    <d v="2024-12-18T00:00:00"/>
    <x v="4"/>
    <x v="26"/>
    <n v="23037.14"/>
    <x v="5"/>
    <x v="0"/>
    <n v="13"/>
    <x v="0"/>
    <x v="12"/>
    <n v="2024"/>
  </r>
  <r>
    <x v="435"/>
    <s v="Brian Rodriguez"/>
    <x v="20"/>
    <x v="0"/>
    <x v="325"/>
    <d v="2024-12-28T00:00:00"/>
    <x v="2"/>
    <x v="21"/>
    <n v="618.74"/>
    <x v="1"/>
    <x v="0"/>
    <n v="1"/>
    <x v="2"/>
    <x v="12"/>
    <n v="2024"/>
  </r>
  <r>
    <x v="436"/>
    <s v="Paul Clark"/>
    <x v="18"/>
    <x v="0"/>
    <x v="20"/>
    <d v="2025-10-25T00:00:00"/>
    <x v="2"/>
    <x v="5"/>
    <n v="3292.07"/>
    <x v="4"/>
    <x v="0"/>
    <n v="3"/>
    <x v="3"/>
    <x v="14"/>
    <n v="2025"/>
  </r>
  <r>
    <x v="437"/>
    <s v="Robert Lee"/>
    <x v="47"/>
    <x v="0"/>
    <x v="299"/>
    <d v="2024-01-05T00:00:00"/>
    <x v="2"/>
    <x v="8"/>
    <n v="5249.64"/>
    <x v="3"/>
    <x v="0"/>
    <n v="4"/>
    <x v="3"/>
    <x v="23"/>
    <n v="2024"/>
  </r>
  <r>
    <x v="438"/>
    <s v="Michael Clark"/>
    <x v="48"/>
    <x v="0"/>
    <x v="326"/>
    <d v="2025-08-21T00:00:00"/>
    <x v="4"/>
    <x v="14"/>
    <n v="5726.98"/>
    <x v="1"/>
    <x v="0"/>
    <n v="5"/>
    <x v="1"/>
    <x v="6"/>
    <n v="2025"/>
  </r>
  <r>
    <x v="439"/>
    <s v="Andrew Garcia"/>
    <x v="43"/>
    <x v="0"/>
    <x v="327"/>
    <d v="2024-05-14T00:00:00"/>
    <x v="3"/>
    <x v="22"/>
    <n v="3417.93"/>
    <x v="6"/>
    <x v="0"/>
    <n v="2"/>
    <x v="4"/>
    <x v="11"/>
    <n v="2024"/>
  </r>
  <r>
    <x v="440"/>
    <s v="Linda Davis"/>
    <x v="32"/>
    <x v="1"/>
    <x v="139"/>
    <d v="2024-09-14T00:00:00"/>
    <x v="2"/>
    <x v="4"/>
    <n v="4075.7"/>
    <x v="6"/>
    <x v="0"/>
    <n v="7"/>
    <x v="1"/>
    <x v="21"/>
    <n v="2024"/>
  </r>
  <r>
    <x v="441"/>
    <s v="Christopher Taylor"/>
    <x v="75"/>
    <x v="0"/>
    <x v="328"/>
    <d v="2025-02-21T00:00:00"/>
    <x v="3"/>
    <x v="22"/>
    <n v="1245.26"/>
    <x v="6"/>
    <x v="0"/>
    <n v="2"/>
    <x v="4"/>
    <x v="10"/>
    <n v="2025"/>
  </r>
  <r>
    <x v="442"/>
    <s v="Robert Rodriguez"/>
    <x v="27"/>
    <x v="0"/>
    <x v="134"/>
    <d v="2025-09-05T00:00:00"/>
    <x v="2"/>
    <x v="16"/>
    <n v="1338.57"/>
    <x v="6"/>
    <x v="1"/>
    <n v="1"/>
    <x v="3"/>
    <x v="20"/>
    <n v="2025"/>
  </r>
  <r>
    <x v="443"/>
    <s v="Elizabeth Brown"/>
    <x v="63"/>
    <x v="1"/>
    <x v="329"/>
    <d v="2025-04-21T00:00:00"/>
    <x v="5"/>
    <x v="35"/>
    <n v="11778.46"/>
    <x v="0"/>
    <x v="2"/>
    <n v="7"/>
    <x v="3"/>
    <x v="18"/>
    <n v="2025"/>
  </r>
  <r>
    <x v="444"/>
    <s v="Kenneth Thomas"/>
    <x v="4"/>
    <x v="0"/>
    <x v="330"/>
    <d v="2025-01-21T00:00:00"/>
    <x v="0"/>
    <x v="29"/>
    <n v="6875.63"/>
    <x v="5"/>
    <x v="1"/>
    <n v="3"/>
    <x v="1"/>
    <x v="17"/>
    <n v="2025"/>
  </r>
  <r>
    <x v="445"/>
    <s v="Joseph Walker"/>
    <x v="19"/>
    <x v="0"/>
    <x v="257"/>
    <d v="2025-06-30T00:00:00"/>
    <x v="2"/>
    <x v="16"/>
    <n v="4520"/>
    <x v="3"/>
    <x v="0"/>
    <n v="5"/>
    <x v="3"/>
    <x v="19"/>
    <n v="2025"/>
  </r>
  <r>
    <x v="446"/>
    <s v="Joseph Martin"/>
    <x v="44"/>
    <x v="0"/>
    <x v="101"/>
    <d v="2024-01-16T00:00:00"/>
    <x v="4"/>
    <x v="13"/>
    <n v="11719.07"/>
    <x v="1"/>
    <x v="0"/>
    <n v="11"/>
    <x v="3"/>
    <x v="23"/>
    <n v="2024"/>
  </r>
  <r>
    <x v="447"/>
    <s v="Susan Thompson"/>
    <x v="76"/>
    <x v="1"/>
    <x v="331"/>
    <d v="2025-07-19T00:00:00"/>
    <x v="5"/>
    <x v="34"/>
    <n v="13712.17"/>
    <x v="1"/>
    <x v="0"/>
    <n v="11"/>
    <x v="1"/>
    <x v="22"/>
    <n v="2025"/>
  </r>
  <r>
    <x v="448"/>
    <s v="Kevin Lewis"/>
    <x v="32"/>
    <x v="0"/>
    <x v="143"/>
    <d v="2024-09-06T00:00:00"/>
    <x v="1"/>
    <x v="31"/>
    <n v="2492.86"/>
    <x v="6"/>
    <x v="0"/>
    <n v="1"/>
    <x v="1"/>
    <x v="21"/>
    <n v="2024"/>
  </r>
  <r>
    <x v="449"/>
    <s v="Thomas Hernandez"/>
    <x v="60"/>
    <x v="0"/>
    <x v="332"/>
    <d v="2025-06-25T00:00:00"/>
    <x v="1"/>
    <x v="3"/>
    <n v="1867.11"/>
    <x v="1"/>
    <x v="0"/>
    <n v="1"/>
    <x v="2"/>
    <x v="19"/>
    <n v="2025"/>
  </r>
  <r>
    <x v="450"/>
    <s v="Daniel Perez"/>
    <x v="54"/>
    <x v="0"/>
    <x v="333"/>
    <d v="2024-07-16T00:00:00"/>
    <x v="0"/>
    <x v="0"/>
    <n v="9821.73"/>
    <x v="1"/>
    <x v="0"/>
    <n v="7"/>
    <x v="1"/>
    <x v="0"/>
    <n v="2024"/>
  </r>
  <r>
    <x v="451"/>
    <s v="Kimberly Robinson"/>
    <x v="6"/>
    <x v="1"/>
    <x v="133"/>
    <d v="2024-04-07T00:00:00"/>
    <x v="5"/>
    <x v="12"/>
    <n v="9183.36"/>
    <x v="2"/>
    <x v="1"/>
    <n v="7"/>
    <x v="3"/>
    <x v="15"/>
    <n v="2024"/>
  </r>
  <r>
    <x v="452"/>
    <s v="Richard Moore"/>
    <x v="8"/>
    <x v="0"/>
    <x v="334"/>
    <d v="2025-01-25T00:00:00"/>
    <x v="2"/>
    <x v="16"/>
    <n v="1293.94"/>
    <x v="6"/>
    <x v="0"/>
    <n v="2"/>
    <x v="0"/>
    <x v="17"/>
    <n v="2025"/>
  </r>
  <r>
    <x v="453"/>
    <s v="Carol Taylor"/>
    <x v="47"/>
    <x v="1"/>
    <x v="68"/>
    <d v="2024-10-30T00:00:00"/>
    <x v="0"/>
    <x v="29"/>
    <n v="23400.73"/>
    <x v="6"/>
    <x v="0"/>
    <n v="9"/>
    <x v="3"/>
    <x v="3"/>
    <n v="2024"/>
  </r>
  <r>
    <x v="454"/>
    <s v="Donna Lewis"/>
    <x v="54"/>
    <x v="1"/>
    <x v="46"/>
    <d v="2025-11-10T00:00:00"/>
    <x v="2"/>
    <x v="4"/>
    <n v="5575.83"/>
    <x v="5"/>
    <x v="0"/>
    <n v="5"/>
    <x v="1"/>
    <x v="7"/>
    <n v="2025"/>
  </r>
  <r>
    <x v="455"/>
    <s v="Mary Garcia"/>
    <x v="78"/>
    <x v="1"/>
    <x v="276"/>
    <d v="2024-04-17T00:00:00"/>
    <x v="2"/>
    <x v="5"/>
    <n v="711.37"/>
    <x v="3"/>
    <x v="1"/>
    <n v="1"/>
    <x v="2"/>
    <x v="2"/>
    <n v="2024"/>
  </r>
  <r>
    <x v="456"/>
    <s v="Joshua Young"/>
    <x v="55"/>
    <x v="0"/>
    <x v="335"/>
    <d v="2025-12-26T00:00:00"/>
    <x v="1"/>
    <x v="32"/>
    <n v="3304.36"/>
    <x v="0"/>
    <x v="0"/>
    <n v="3"/>
    <x v="0"/>
    <x v="9"/>
    <n v="2025"/>
  </r>
  <r>
    <x v="457"/>
    <s v="William Anderson"/>
    <x v="47"/>
    <x v="0"/>
    <x v="260"/>
    <d v="2024-03-11T00:00:00"/>
    <x v="5"/>
    <x v="34"/>
    <n v="18171.34"/>
    <x v="5"/>
    <x v="2"/>
    <n v="8"/>
    <x v="3"/>
    <x v="15"/>
    <n v="2024"/>
  </r>
  <r>
    <x v="458"/>
    <s v="Emily Clark"/>
    <x v="27"/>
    <x v="1"/>
    <x v="336"/>
    <d v="2024-07-09T00:00:00"/>
    <x v="4"/>
    <x v="27"/>
    <n v="32666.57"/>
    <x v="1"/>
    <x v="2"/>
    <n v="12"/>
    <x v="3"/>
    <x v="16"/>
    <n v="2024"/>
  </r>
  <r>
    <x v="459"/>
    <s v="Thomas Young"/>
    <x v="0"/>
    <x v="0"/>
    <x v="337"/>
    <d v="2024-03-05T00:00:00"/>
    <x v="2"/>
    <x v="5"/>
    <n v="8770.94"/>
    <x v="1"/>
    <x v="0"/>
    <n v="6"/>
    <x v="0"/>
    <x v="5"/>
    <n v="2024"/>
  </r>
  <r>
    <x v="460"/>
    <s v="Matthew Lee"/>
    <x v="35"/>
    <x v="0"/>
    <x v="338"/>
    <d v="2025-03-08T00:00:00"/>
    <x v="5"/>
    <x v="30"/>
    <n v="5722.85"/>
    <x v="5"/>
    <x v="2"/>
    <n v="3"/>
    <x v="3"/>
    <x v="1"/>
    <n v="2025"/>
  </r>
  <r>
    <x v="461"/>
    <s v="Lisa Perez"/>
    <x v="32"/>
    <x v="1"/>
    <x v="339"/>
    <d v="2024-11-04T00:00:00"/>
    <x v="1"/>
    <x v="36"/>
    <n v="1228.01"/>
    <x v="3"/>
    <x v="0"/>
    <n v="1"/>
    <x v="1"/>
    <x v="4"/>
    <n v="2024"/>
  </r>
  <r>
    <x v="462"/>
    <s v="Linda Thompson"/>
    <x v="58"/>
    <x v="1"/>
    <x v="340"/>
    <d v="2024-11-17T00:00:00"/>
    <x v="2"/>
    <x v="8"/>
    <n v="8155.8"/>
    <x v="1"/>
    <x v="0"/>
    <n v="7"/>
    <x v="1"/>
    <x v="4"/>
    <n v="2024"/>
  </r>
  <r>
    <x v="463"/>
    <s v="Emily Taylor"/>
    <x v="66"/>
    <x v="1"/>
    <x v="272"/>
    <d v="2024-05-30T00:00:00"/>
    <x v="4"/>
    <x v="27"/>
    <n v="21834.98"/>
    <x v="1"/>
    <x v="0"/>
    <n v="11"/>
    <x v="1"/>
    <x v="11"/>
    <n v="2024"/>
  </r>
  <r>
    <x v="464"/>
    <s v="Elizabeth Martin"/>
    <x v="38"/>
    <x v="1"/>
    <x v="341"/>
    <d v="2025-12-22T00:00:00"/>
    <x v="4"/>
    <x v="18"/>
    <n v="24478.42"/>
    <x v="5"/>
    <x v="1"/>
    <n v="9"/>
    <x v="0"/>
    <x v="9"/>
    <n v="2025"/>
  </r>
  <r>
    <x v="465"/>
    <s v="Joshua White"/>
    <x v="12"/>
    <x v="0"/>
    <x v="81"/>
    <d v="2024-08-30T00:00:00"/>
    <x v="2"/>
    <x v="8"/>
    <n v="3310.93"/>
    <x v="4"/>
    <x v="0"/>
    <n v="4"/>
    <x v="2"/>
    <x v="8"/>
    <n v="2024"/>
  </r>
  <r>
    <x v="466"/>
    <s v="Sarah Martinez"/>
    <x v="73"/>
    <x v="1"/>
    <x v="342"/>
    <d v="2024-05-22T00:00:00"/>
    <x v="3"/>
    <x v="25"/>
    <n v="3615.86"/>
    <x v="5"/>
    <x v="0"/>
    <n v="5"/>
    <x v="4"/>
    <x v="11"/>
    <n v="2024"/>
  </r>
  <r>
    <x v="467"/>
    <s v="Sandra Clark"/>
    <x v="48"/>
    <x v="1"/>
    <x v="343"/>
    <d v="2025-02-13T00:00:00"/>
    <x v="0"/>
    <x v="29"/>
    <n v="14885.93"/>
    <x v="3"/>
    <x v="0"/>
    <n v="7"/>
    <x v="1"/>
    <x v="10"/>
    <n v="2025"/>
  </r>
  <r>
    <x v="468"/>
    <s v="Ashley Ramirez"/>
    <x v="3"/>
    <x v="1"/>
    <x v="101"/>
    <d v="2024-01-19T00:00:00"/>
    <x v="4"/>
    <x v="26"/>
    <n v="21594.51"/>
    <x v="0"/>
    <x v="0"/>
    <n v="14"/>
    <x v="2"/>
    <x v="23"/>
    <n v="2024"/>
  </r>
  <r>
    <x v="469"/>
    <s v="William Williams"/>
    <x v="17"/>
    <x v="0"/>
    <x v="344"/>
    <d v="2025-09-18T00:00:00"/>
    <x v="4"/>
    <x v="11"/>
    <n v="16660.509999999998"/>
    <x v="5"/>
    <x v="1"/>
    <n v="11"/>
    <x v="3"/>
    <x v="20"/>
    <n v="2025"/>
  </r>
  <r>
    <x v="470"/>
    <s v="Susan Perez"/>
    <x v="65"/>
    <x v="1"/>
    <x v="167"/>
    <d v="2024-03-04T00:00:00"/>
    <x v="3"/>
    <x v="23"/>
    <n v="5025.87"/>
    <x v="1"/>
    <x v="0"/>
    <n v="3"/>
    <x v="4"/>
    <x v="15"/>
    <n v="2024"/>
  </r>
  <r>
    <x v="471"/>
    <s v="Michelle Wilson"/>
    <x v="40"/>
    <x v="1"/>
    <x v="345"/>
    <d v="2024-05-27T00:00:00"/>
    <x v="4"/>
    <x v="14"/>
    <n v="3693.42"/>
    <x v="3"/>
    <x v="0"/>
    <n v="2"/>
    <x v="0"/>
    <x v="11"/>
    <n v="2024"/>
  </r>
  <r>
    <x v="472"/>
    <s v="Andrew Jackson"/>
    <x v="73"/>
    <x v="0"/>
    <x v="254"/>
    <d v="2025-06-15T00:00:00"/>
    <x v="3"/>
    <x v="25"/>
    <n v="6070.15"/>
    <x v="5"/>
    <x v="0"/>
    <n v="4"/>
    <x v="4"/>
    <x v="19"/>
    <n v="2025"/>
  </r>
  <r>
    <x v="473"/>
    <s v="Kevin Perez"/>
    <x v="58"/>
    <x v="0"/>
    <x v="346"/>
    <d v="2025-05-07T00:00:00"/>
    <x v="2"/>
    <x v="5"/>
    <n v="1488.89"/>
    <x v="1"/>
    <x v="0"/>
    <n v="1"/>
    <x v="1"/>
    <x v="13"/>
    <n v="2025"/>
  </r>
  <r>
    <x v="474"/>
    <s v="Michael Smith"/>
    <x v="40"/>
    <x v="0"/>
    <x v="347"/>
    <d v="2024-07-07T00:00:00"/>
    <x v="2"/>
    <x v="5"/>
    <n v="3173.52"/>
    <x v="3"/>
    <x v="2"/>
    <n v="3"/>
    <x v="0"/>
    <x v="0"/>
    <n v="2024"/>
  </r>
  <r>
    <x v="475"/>
    <s v="Michelle Jones"/>
    <x v="15"/>
    <x v="1"/>
    <x v="210"/>
    <d v="2025-05-02T00:00:00"/>
    <x v="4"/>
    <x v="11"/>
    <n v="12100.26"/>
    <x v="3"/>
    <x v="2"/>
    <n v="9"/>
    <x v="3"/>
    <x v="18"/>
    <n v="2025"/>
  </r>
  <r>
    <x v="476"/>
    <s v="Jennifer Smith"/>
    <x v="21"/>
    <x v="1"/>
    <x v="233"/>
    <d v="2024-02-27T00:00:00"/>
    <x v="0"/>
    <x v="6"/>
    <n v="17141"/>
    <x v="3"/>
    <x v="0"/>
    <n v="6"/>
    <x v="1"/>
    <x v="5"/>
    <n v="2024"/>
  </r>
  <r>
    <x v="477"/>
    <s v="Betty Moore"/>
    <x v="19"/>
    <x v="1"/>
    <x v="348"/>
    <d v="2025-01-27T00:00:00"/>
    <x v="1"/>
    <x v="31"/>
    <n v="1576.85"/>
    <x v="1"/>
    <x v="1"/>
    <n v="1"/>
    <x v="3"/>
    <x v="17"/>
    <n v="2025"/>
  </r>
  <r>
    <x v="478"/>
    <s v="William Rodriguez"/>
    <x v="36"/>
    <x v="0"/>
    <x v="349"/>
    <d v="2024-08-01T00:00:00"/>
    <x v="2"/>
    <x v="10"/>
    <n v="534.38"/>
    <x v="1"/>
    <x v="0"/>
    <n v="1"/>
    <x v="0"/>
    <x v="0"/>
    <n v="2024"/>
  </r>
  <r>
    <x v="479"/>
    <s v="Kimberly Clark"/>
    <x v="37"/>
    <x v="1"/>
    <x v="161"/>
    <d v="2024-01-10T00:00:00"/>
    <x v="3"/>
    <x v="24"/>
    <n v="728.22"/>
    <x v="0"/>
    <x v="0"/>
    <n v="1"/>
    <x v="4"/>
    <x v="23"/>
    <n v="2024"/>
  </r>
  <r>
    <x v="480"/>
    <s v="Thomas Martin"/>
    <x v="3"/>
    <x v="0"/>
    <x v="350"/>
    <d v="2025-07-15T00:00:00"/>
    <x v="4"/>
    <x v="27"/>
    <n v="12100.99"/>
    <x v="6"/>
    <x v="1"/>
    <n v="6"/>
    <x v="2"/>
    <x v="22"/>
    <n v="2025"/>
  </r>
  <r>
    <x v="481"/>
    <s v="Dorothy Brown"/>
    <x v="41"/>
    <x v="1"/>
    <x v="351"/>
    <d v="2025-05-20T00:00:00"/>
    <x v="0"/>
    <x v="0"/>
    <n v="8417.51"/>
    <x v="5"/>
    <x v="2"/>
    <n v="6"/>
    <x v="1"/>
    <x v="13"/>
    <n v="2025"/>
  </r>
  <r>
    <x v="482"/>
    <s v="Linda Davis"/>
    <x v="2"/>
    <x v="1"/>
    <x v="249"/>
    <d v="2024-08-18T00:00:00"/>
    <x v="0"/>
    <x v="29"/>
    <n v="4494.01"/>
    <x v="4"/>
    <x v="2"/>
    <n v="3"/>
    <x v="1"/>
    <x v="8"/>
    <n v="2024"/>
  </r>
  <r>
    <x v="483"/>
    <s v="Paul Johnson"/>
    <x v="59"/>
    <x v="0"/>
    <x v="352"/>
    <d v="2024-03-13T00:00:00"/>
    <x v="3"/>
    <x v="24"/>
    <n v="3929.21"/>
    <x v="3"/>
    <x v="1"/>
    <n v="4"/>
    <x v="4"/>
    <x v="15"/>
    <n v="2024"/>
  </r>
  <r>
    <x v="484"/>
    <s v="Lisa Jones"/>
    <x v="47"/>
    <x v="1"/>
    <x v="353"/>
    <d v="2025-12-06T00:00:00"/>
    <x v="4"/>
    <x v="14"/>
    <n v="24600.43"/>
    <x v="5"/>
    <x v="1"/>
    <n v="14"/>
    <x v="3"/>
    <x v="7"/>
    <n v="2025"/>
  </r>
  <r>
    <x v="485"/>
    <s v="Joseph Clark"/>
    <x v="34"/>
    <x v="0"/>
    <x v="354"/>
    <d v="2024-05-29T00:00:00"/>
    <x v="1"/>
    <x v="15"/>
    <n v="4928.0600000000004"/>
    <x v="0"/>
    <x v="2"/>
    <n v="3"/>
    <x v="0"/>
    <x v="11"/>
    <n v="2024"/>
  </r>
  <r>
    <x v="486"/>
    <s v="Linda Wilson"/>
    <x v="26"/>
    <x v="1"/>
    <x v="355"/>
    <d v="2025-01-30T00:00:00"/>
    <x v="1"/>
    <x v="3"/>
    <n v="1292.28"/>
    <x v="6"/>
    <x v="0"/>
    <n v="1"/>
    <x v="1"/>
    <x v="17"/>
    <n v="2025"/>
  </r>
  <r>
    <x v="487"/>
    <s v="Nancy Jones"/>
    <x v="31"/>
    <x v="1"/>
    <x v="356"/>
    <d v="2024-11-05T00:00:00"/>
    <x v="3"/>
    <x v="25"/>
    <n v="3900.85"/>
    <x v="3"/>
    <x v="0"/>
    <n v="3"/>
    <x v="4"/>
    <x v="4"/>
    <n v="2024"/>
  </r>
  <r>
    <x v="488"/>
    <s v="Nancy Perez"/>
    <x v="53"/>
    <x v="1"/>
    <x v="58"/>
    <d v="2025-04-29T00:00:00"/>
    <x v="2"/>
    <x v="33"/>
    <n v="2872.81"/>
    <x v="6"/>
    <x v="1"/>
    <n v="5"/>
    <x v="3"/>
    <x v="18"/>
    <n v="2025"/>
  </r>
  <r>
    <x v="489"/>
    <s v="Barbara Brown"/>
    <x v="42"/>
    <x v="1"/>
    <x v="357"/>
    <d v="2025-11-23T00:00:00"/>
    <x v="4"/>
    <x v="18"/>
    <n v="16993.79"/>
    <x v="5"/>
    <x v="2"/>
    <n v="9"/>
    <x v="3"/>
    <x v="7"/>
    <n v="2025"/>
  </r>
  <r>
    <x v="490"/>
    <s v="Matthew Ramirez"/>
    <x v="73"/>
    <x v="0"/>
    <x v="40"/>
    <d v="2025-11-22T00:00:00"/>
    <x v="3"/>
    <x v="37"/>
    <n v="4693.3500000000004"/>
    <x v="1"/>
    <x v="0"/>
    <n v="4"/>
    <x v="4"/>
    <x v="7"/>
    <n v="2025"/>
  </r>
  <r>
    <x v="491"/>
    <s v="Sarah Brown"/>
    <x v="48"/>
    <x v="1"/>
    <x v="191"/>
    <d v="2025-11-30T00:00:00"/>
    <x v="1"/>
    <x v="32"/>
    <n v="2381.67"/>
    <x v="0"/>
    <x v="2"/>
    <n v="1"/>
    <x v="1"/>
    <x v="7"/>
    <n v="2025"/>
  </r>
  <r>
    <x v="492"/>
    <s v="Robert Williams"/>
    <x v="31"/>
    <x v="0"/>
    <x v="2"/>
    <d v="2024-04-07T00:00:00"/>
    <x v="3"/>
    <x v="22"/>
    <n v="3014.2"/>
    <x v="0"/>
    <x v="1"/>
    <n v="2"/>
    <x v="4"/>
    <x v="2"/>
    <n v="2024"/>
  </r>
  <r>
    <x v="493"/>
    <s v="Mary Thompson"/>
    <x v="61"/>
    <x v="1"/>
    <x v="272"/>
    <d v="2024-05-27T00:00:00"/>
    <x v="5"/>
    <x v="35"/>
    <n v="13434.66"/>
    <x v="0"/>
    <x v="1"/>
    <n v="8"/>
    <x v="3"/>
    <x v="11"/>
    <n v="2024"/>
  </r>
  <r>
    <x v="494"/>
    <s v="Michael White"/>
    <x v="3"/>
    <x v="0"/>
    <x v="358"/>
    <d v="2025-05-26T00:00:00"/>
    <x v="4"/>
    <x v="27"/>
    <n v="13647.71"/>
    <x v="4"/>
    <x v="0"/>
    <n v="11"/>
    <x v="2"/>
    <x v="13"/>
    <n v="2025"/>
  </r>
  <r>
    <x v="495"/>
    <s v="Michael Robinson"/>
    <x v="22"/>
    <x v="0"/>
    <x v="359"/>
    <d v="2025-10-04T00:00:00"/>
    <x v="4"/>
    <x v="26"/>
    <n v="4992.76"/>
    <x v="0"/>
    <x v="0"/>
    <n v="2"/>
    <x v="3"/>
    <x v="14"/>
    <n v="2025"/>
  </r>
  <r>
    <x v="496"/>
    <s v="Robert Jackson"/>
    <x v="18"/>
    <x v="0"/>
    <x v="360"/>
    <d v="2025-01-02T00:00:00"/>
    <x v="1"/>
    <x v="7"/>
    <n v="4370.5"/>
    <x v="5"/>
    <x v="1"/>
    <n v="2"/>
    <x v="3"/>
    <x v="12"/>
    <n v="2024"/>
  </r>
  <r>
    <x v="497"/>
    <s v="Donna Johnson"/>
    <x v="47"/>
    <x v="1"/>
    <x v="361"/>
    <d v="2025-01-08T00:00:00"/>
    <x v="2"/>
    <x v="16"/>
    <n v="3007.7"/>
    <x v="1"/>
    <x v="1"/>
    <n v="4"/>
    <x v="3"/>
    <x v="17"/>
    <n v="2025"/>
  </r>
  <r>
    <x v="498"/>
    <s v="Donna Martinez"/>
    <x v="33"/>
    <x v="1"/>
    <x v="362"/>
    <d v="2025-01-16T00:00:00"/>
    <x v="5"/>
    <x v="17"/>
    <n v="17578.87"/>
    <x v="1"/>
    <x v="0"/>
    <n v="7"/>
    <x v="0"/>
    <x v="17"/>
    <n v="2025"/>
  </r>
  <r>
    <x v="499"/>
    <s v="Anthony White"/>
    <x v="58"/>
    <x v="0"/>
    <x v="363"/>
    <d v="2025-09-12T00:00:00"/>
    <x v="2"/>
    <x v="10"/>
    <n v="1203.76"/>
    <x v="3"/>
    <x v="1"/>
    <n v="2"/>
    <x v="1"/>
    <x v="20"/>
    <n v="2025"/>
  </r>
  <r>
    <x v="500"/>
    <s v="Donna Lee"/>
    <x v="78"/>
    <x v="1"/>
    <x v="171"/>
    <d v="2024-12-16T00:00:00"/>
    <x v="1"/>
    <x v="2"/>
    <n v="2453.12"/>
    <x v="4"/>
    <x v="0"/>
    <n v="3"/>
    <x v="2"/>
    <x v="12"/>
    <n v="2024"/>
  </r>
  <r>
    <x v="501"/>
    <s v="Kevin White"/>
    <x v="40"/>
    <x v="0"/>
    <x v="364"/>
    <d v="2024-05-01T00:00:00"/>
    <x v="0"/>
    <x v="19"/>
    <n v="6452.72"/>
    <x v="5"/>
    <x v="0"/>
    <n v="3"/>
    <x v="0"/>
    <x v="2"/>
    <n v="2024"/>
  </r>
  <r>
    <x v="502"/>
    <s v="Lisa Lee"/>
    <x v="74"/>
    <x v="1"/>
    <x v="349"/>
    <d v="2024-08-03T00:00:00"/>
    <x v="3"/>
    <x v="9"/>
    <n v="3215.48"/>
    <x v="3"/>
    <x v="0"/>
    <n v="3"/>
    <x v="4"/>
    <x v="0"/>
    <n v="2024"/>
  </r>
  <r>
    <x v="503"/>
    <s v="Daniel Jones"/>
    <x v="1"/>
    <x v="0"/>
    <x v="162"/>
    <d v="2025-01-27T00:00:00"/>
    <x v="0"/>
    <x v="6"/>
    <n v="17458.62"/>
    <x v="2"/>
    <x v="0"/>
    <n v="6"/>
    <x v="0"/>
    <x v="17"/>
    <n v="2025"/>
  </r>
  <r>
    <x v="504"/>
    <s v="Steven Young"/>
    <x v="0"/>
    <x v="0"/>
    <x v="279"/>
    <d v="2025-12-07T00:00:00"/>
    <x v="0"/>
    <x v="0"/>
    <n v="14707.56"/>
    <x v="1"/>
    <x v="2"/>
    <n v="5"/>
    <x v="0"/>
    <x v="9"/>
    <n v="2025"/>
  </r>
  <r>
    <x v="505"/>
    <s v="Steven Davis"/>
    <x v="24"/>
    <x v="0"/>
    <x v="234"/>
    <d v="2024-07-17T00:00:00"/>
    <x v="2"/>
    <x v="10"/>
    <n v="5116.62"/>
    <x v="3"/>
    <x v="2"/>
    <n v="4"/>
    <x v="0"/>
    <x v="0"/>
    <n v="2024"/>
  </r>
  <r>
    <x v="506"/>
    <s v="Barbara Davis"/>
    <x v="3"/>
    <x v="1"/>
    <x v="323"/>
    <d v="2024-08-13T00:00:00"/>
    <x v="4"/>
    <x v="18"/>
    <n v="11957.78"/>
    <x v="1"/>
    <x v="1"/>
    <n v="7"/>
    <x v="2"/>
    <x v="8"/>
    <n v="2024"/>
  </r>
  <r>
    <x v="507"/>
    <s v="Michelle Taylor"/>
    <x v="52"/>
    <x v="1"/>
    <x v="273"/>
    <d v="2024-08-22T00:00:00"/>
    <x v="1"/>
    <x v="3"/>
    <n v="2237.66"/>
    <x v="1"/>
    <x v="0"/>
    <n v="1"/>
    <x v="1"/>
    <x v="8"/>
    <n v="2024"/>
  </r>
  <r>
    <x v="508"/>
    <s v="Steven Robinson"/>
    <x v="3"/>
    <x v="0"/>
    <x v="365"/>
    <d v="2025-07-19T00:00:00"/>
    <x v="2"/>
    <x v="8"/>
    <n v="912.18"/>
    <x v="4"/>
    <x v="1"/>
    <n v="1"/>
    <x v="2"/>
    <x v="22"/>
    <n v="2025"/>
  </r>
  <r>
    <x v="509"/>
    <s v="Lisa Lopez"/>
    <x v="39"/>
    <x v="1"/>
    <x v="362"/>
    <d v="2025-01-10T00:00:00"/>
    <x v="1"/>
    <x v="7"/>
    <n v="2435.08"/>
    <x v="0"/>
    <x v="2"/>
    <n v="1"/>
    <x v="0"/>
    <x v="17"/>
    <n v="2025"/>
  </r>
  <r>
    <x v="510"/>
    <s v="Michael Miller"/>
    <x v="55"/>
    <x v="0"/>
    <x v="366"/>
    <d v="2024-02-18T00:00:00"/>
    <x v="4"/>
    <x v="27"/>
    <n v="26103.65"/>
    <x v="0"/>
    <x v="2"/>
    <n v="12"/>
    <x v="0"/>
    <x v="5"/>
    <n v="2024"/>
  </r>
  <r>
    <x v="511"/>
    <s v="William Jones"/>
    <x v="50"/>
    <x v="0"/>
    <x v="15"/>
    <d v="2025-02-08T00:00:00"/>
    <x v="3"/>
    <x v="9"/>
    <n v="762.87"/>
    <x v="1"/>
    <x v="0"/>
    <n v="1"/>
    <x v="4"/>
    <x v="10"/>
    <n v="2025"/>
  </r>
  <r>
    <x v="512"/>
    <s v="Michelle Thompson"/>
    <x v="56"/>
    <x v="1"/>
    <x v="33"/>
    <d v="2025-10-16T00:00:00"/>
    <x v="3"/>
    <x v="23"/>
    <n v="653.57000000000005"/>
    <x v="5"/>
    <x v="1"/>
    <n v="1"/>
    <x v="4"/>
    <x v="14"/>
    <n v="2025"/>
  </r>
  <r>
    <x v="513"/>
    <s v="Mary Taylor"/>
    <x v="34"/>
    <x v="1"/>
    <x v="310"/>
    <d v="2025-12-27T00:00:00"/>
    <x v="4"/>
    <x v="18"/>
    <n v="7007.11"/>
    <x v="1"/>
    <x v="0"/>
    <n v="3"/>
    <x v="0"/>
    <x v="9"/>
    <n v="2025"/>
  </r>
  <r>
    <x v="514"/>
    <s v="Joshua Williams"/>
    <x v="21"/>
    <x v="0"/>
    <x v="358"/>
    <d v="2025-05-22T00:00:00"/>
    <x v="2"/>
    <x v="8"/>
    <n v="9641.39"/>
    <x v="1"/>
    <x v="0"/>
    <n v="7"/>
    <x v="1"/>
    <x v="13"/>
    <n v="2025"/>
  </r>
  <r>
    <x v="515"/>
    <s v="Lisa Wilson"/>
    <x v="63"/>
    <x v="1"/>
    <x v="70"/>
    <d v="2025-04-11T00:00:00"/>
    <x v="4"/>
    <x v="18"/>
    <n v="20277.68"/>
    <x v="0"/>
    <x v="1"/>
    <n v="10"/>
    <x v="3"/>
    <x v="18"/>
    <n v="2025"/>
  </r>
  <r>
    <x v="516"/>
    <s v="Sandra Williams"/>
    <x v="70"/>
    <x v="1"/>
    <x v="367"/>
    <d v="2025-10-27T00:00:00"/>
    <x v="0"/>
    <x v="20"/>
    <n v="10406.790000000001"/>
    <x v="5"/>
    <x v="1"/>
    <n v="7"/>
    <x v="0"/>
    <x v="14"/>
    <n v="2025"/>
  </r>
  <r>
    <x v="517"/>
    <s v="Steven Johnson"/>
    <x v="77"/>
    <x v="0"/>
    <x v="288"/>
    <d v="2025-04-24T00:00:00"/>
    <x v="1"/>
    <x v="36"/>
    <n v="5735.73"/>
    <x v="1"/>
    <x v="1"/>
    <n v="3"/>
    <x v="2"/>
    <x v="18"/>
    <n v="2025"/>
  </r>
  <r>
    <x v="518"/>
    <s v="Andrew Lewis"/>
    <x v="15"/>
    <x v="0"/>
    <x v="49"/>
    <d v="2024-07-09T00:00:00"/>
    <x v="2"/>
    <x v="10"/>
    <n v="4420.13"/>
    <x v="3"/>
    <x v="0"/>
    <n v="3"/>
    <x v="3"/>
    <x v="0"/>
    <n v="2024"/>
  </r>
  <r>
    <x v="519"/>
    <s v="Karen Walker"/>
    <x v="70"/>
    <x v="1"/>
    <x v="247"/>
    <d v="2025-08-25T00:00:00"/>
    <x v="2"/>
    <x v="21"/>
    <n v="4034.24"/>
    <x v="3"/>
    <x v="1"/>
    <n v="6"/>
    <x v="0"/>
    <x v="6"/>
    <n v="2025"/>
  </r>
  <r>
    <x v="520"/>
    <s v="Brian Miller"/>
    <x v="5"/>
    <x v="0"/>
    <x v="61"/>
    <d v="2025-02-04T00:00:00"/>
    <x v="5"/>
    <x v="12"/>
    <n v="18224.23"/>
    <x v="1"/>
    <x v="0"/>
    <n v="11"/>
    <x v="0"/>
    <x v="17"/>
    <n v="2025"/>
  </r>
  <r>
    <x v="521"/>
    <s v="Thomas Clark"/>
    <x v="7"/>
    <x v="0"/>
    <x v="368"/>
    <d v="2024-07-29T00:00:00"/>
    <x v="2"/>
    <x v="21"/>
    <n v="4562.96"/>
    <x v="3"/>
    <x v="0"/>
    <n v="7"/>
    <x v="2"/>
    <x v="0"/>
    <n v="2024"/>
  </r>
  <r>
    <x v="522"/>
    <s v="David Anderson"/>
    <x v="37"/>
    <x v="0"/>
    <x v="369"/>
    <d v="2024-11-05T00:00:00"/>
    <x v="3"/>
    <x v="23"/>
    <n v="7560.63"/>
    <x v="2"/>
    <x v="0"/>
    <n v="5"/>
    <x v="4"/>
    <x v="3"/>
    <n v="2024"/>
  </r>
  <r>
    <x v="523"/>
    <s v="Sarah Anderson"/>
    <x v="7"/>
    <x v="1"/>
    <x v="227"/>
    <d v="2025-07-16T00:00:00"/>
    <x v="2"/>
    <x v="8"/>
    <n v="605"/>
    <x v="1"/>
    <x v="0"/>
    <n v="1"/>
    <x v="2"/>
    <x v="22"/>
    <n v="2025"/>
  </r>
  <r>
    <x v="524"/>
    <s v="Lisa Davis"/>
    <x v="41"/>
    <x v="1"/>
    <x v="27"/>
    <d v="2025-01-26T00:00:00"/>
    <x v="1"/>
    <x v="31"/>
    <n v="899.35"/>
    <x v="5"/>
    <x v="1"/>
    <n v="1"/>
    <x v="1"/>
    <x v="17"/>
    <n v="2025"/>
  </r>
  <r>
    <x v="525"/>
    <s v="Kenneth Davis"/>
    <x v="36"/>
    <x v="0"/>
    <x v="337"/>
    <d v="2024-03-04T00:00:00"/>
    <x v="0"/>
    <x v="0"/>
    <n v="13642.77"/>
    <x v="1"/>
    <x v="2"/>
    <n v="5"/>
    <x v="0"/>
    <x v="5"/>
    <n v="2024"/>
  </r>
  <r>
    <x v="526"/>
    <s v="Emily Walker"/>
    <x v="27"/>
    <x v="1"/>
    <x v="370"/>
    <d v="2024-09-09T00:00:00"/>
    <x v="2"/>
    <x v="16"/>
    <n v="1419.55"/>
    <x v="3"/>
    <x v="2"/>
    <n v="1"/>
    <x v="3"/>
    <x v="21"/>
    <n v="2024"/>
  </r>
  <r>
    <x v="527"/>
    <s v="Thomas Garcia"/>
    <x v="76"/>
    <x v="0"/>
    <x v="371"/>
    <d v="2025-09-13T00:00:00"/>
    <x v="2"/>
    <x v="4"/>
    <n v="4915.01"/>
    <x v="3"/>
    <x v="0"/>
    <n v="5"/>
    <x v="1"/>
    <x v="20"/>
    <n v="2025"/>
  </r>
  <r>
    <x v="528"/>
    <s v="Sarah Lee"/>
    <x v="12"/>
    <x v="1"/>
    <x v="372"/>
    <d v="2024-06-09T00:00:00"/>
    <x v="2"/>
    <x v="21"/>
    <n v="879.73"/>
    <x v="1"/>
    <x v="0"/>
    <n v="1"/>
    <x v="2"/>
    <x v="16"/>
    <n v="2024"/>
  </r>
  <r>
    <x v="529"/>
    <s v="Barbara Thompson"/>
    <x v="58"/>
    <x v="1"/>
    <x v="140"/>
    <d v="2024-07-26T00:00:00"/>
    <x v="1"/>
    <x v="3"/>
    <n v="4924.09"/>
    <x v="5"/>
    <x v="0"/>
    <n v="3"/>
    <x v="1"/>
    <x v="0"/>
    <n v="2024"/>
  </r>
  <r>
    <x v="530"/>
    <s v="Joshua Miller"/>
    <x v="51"/>
    <x v="0"/>
    <x v="211"/>
    <d v="2025-11-12T00:00:00"/>
    <x v="4"/>
    <x v="11"/>
    <n v="13077.22"/>
    <x v="0"/>
    <x v="2"/>
    <n v="10"/>
    <x v="2"/>
    <x v="7"/>
    <n v="2025"/>
  </r>
  <r>
    <x v="531"/>
    <s v="William Young"/>
    <x v="61"/>
    <x v="0"/>
    <x v="298"/>
    <d v="2025-10-18T00:00:00"/>
    <x v="2"/>
    <x v="8"/>
    <n v="5438.75"/>
    <x v="1"/>
    <x v="0"/>
    <n v="7"/>
    <x v="3"/>
    <x v="14"/>
    <n v="2025"/>
  </r>
  <r>
    <x v="532"/>
    <s v="Carol Ramirez"/>
    <x v="8"/>
    <x v="1"/>
    <x v="283"/>
    <d v="2024-11-04T00:00:00"/>
    <x v="0"/>
    <x v="1"/>
    <n v="23659.1"/>
    <x v="3"/>
    <x v="1"/>
    <n v="8"/>
    <x v="0"/>
    <x v="3"/>
    <n v="2024"/>
  </r>
  <r>
    <x v="533"/>
    <s v="Robert Clark"/>
    <x v="64"/>
    <x v="0"/>
    <x v="43"/>
    <d v="2024-07-22T00:00:00"/>
    <x v="0"/>
    <x v="29"/>
    <n v="10323.56"/>
    <x v="5"/>
    <x v="0"/>
    <n v="5"/>
    <x v="1"/>
    <x v="0"/>
    <n v="2024"/>
  </r>
  <r>
    <x v="534"/>
    <s v="James Walker"/>
    <x v="5"/>
    <x v="0"/>
    <x v="38"/>
    <d v="2024-12-26T00:00:00"/>
    <x v="4"/>
    <x v="27"/>
    <n v="23629.360000000001"/>
    <x v="3"/>
    <x v="0"/>
    <n v="9"/>
    <x v="0"/>
    <x v="12"/>
    <n v="2024"/>
  </r>
  <r>
    <x v="535"/>
    <s v="Thomas Lewis"/>
    <x v="4"/>
    <x v="0"/>
    <x v="256"/>
    <d v="2024-03-14T00:00:00"/>
    <x v="2"/>
    <x v="21"/>
    <n v="7474.49"/>
    <x v="5"/>
    <x v="0"/>
    <n v="6"/>
    <x v="1"/>
    <x v="15"/>
    <n v="2024"/>
  </r>
  <r>
    <x v="536"/>
    <s v="Elizabeth Robinson"/>
    <x v="6"/>
    <x v="1"/>
    <x v="19"/>
    <d v="2025-05-30T00:00:00"/>
    <x v="1"/>
    <x v="32"/>
    <n v="6062.52"/>
    <x v="3"/>
    <x v="0"/>
    <n v="3"/>
    <x v="3"/>
    <x v="13"/>
    <n v="2025"/>
  </r>
  <r>
    <x v="537"/>
    <s v="Karen Taylor"/>
    <x v="60"/>
    <x v="1"/>
    <x v="373"/>
    <d v="2024-07-01T00:00:00"/>
    <x v="1"/>
    <x v="15"/>
    <n v="4748.93"/>
    <x v="2"/>
    <x v="0"/>
    <n v="2"/>
    <x v="2"/>
    <x v="16"/>
    <n v="2024"/>
  </r>
  <r>
    <x v="538"/>
    <s v="Anthony Jackson"/>
    <x v="72"/>
    <x v="0"/>
    <x v="281"/>
    <d v="2025-05-14T00:00:00"/>
    <x v="3"/>
    <x v="22"/>
    <n v="5993.64"/>
    <x v="2"/>
    <x v="2"/>
    <n v="4"/>
    <x v="4"/>
    <x v="13"/>
    <n v="2025"/>
  </r>
  <r>
    <x v="539"/>
    <s v="Michael Taylor"/>
    <x v="27"/>
    <x v="0"/>
    <x v="374"/>
    <d v="2025-11-22T00:00:00"/>
    <x v="2"/>
    <x v="8"/>
    <n v="1129.2"/>
    <x v="1"/>
    <x v="0"/>
    <n v="2"/>
    <x v="3"/>
    <x v="7"/>
    <n v="2025"/>
  </r>
  <r>
    <x v="540"/>
    <s v="Barbara Davis"/>
    <x v="44"/>
    <x v="1"/>
    <x v="146"/>
    <d v="2024-05-08T00:00:00"/>
    <x v="1"/>
    <x v="31"/>
    <n v="2925.89"/>
    <x v="0"/>
    <x v="2"/>
    <n v="3"/>
    <x v="3"/>
    <x v="11"/>
    <n v="2024"/>
  </r>
  <r>
    <x v="541"/>
    <s v="Karen Davis"/>
    <x v="34"/>
    <x v="1"/>
    <x v="375"/>
    <d v="2024-10-02T00:00:00"/>
    <x v="1"/>
    <x v="31"/>
    <n v="3791.25"/>
    <x v="0"/>
    <x v="1"/>
    <n v="2"/>
    <x v="0"/>
    <x v="21"/>
    <n v="2024"/>
  </r>
  <r>
    <x v="542"/>
    <s v="Karen White"/>
    <x v="53"/>
    <x v="1"/>
    <x v="30"/>
    <d v="2024-06-30T00:00:00"/>
    <x v="4"/>
    <x v="27"/>
    <n v="17536.5"/>
    <x v="3"/>
    <x v="0"/>
    <n v="7"/>
    <x v="3"/>
    <x v="16"/>
    <n v="2024"/>
  </r>
  <r>
    <x v="543"/>
    <s v="Sarah Davis"/>
    <x v="17"/>
    <x v="1"/>
    <x v="376"/>
    <d v="2025-02-03T00:00:00"/>
    <x v="2"/>
    <x v="4"/>
    <n v="2285.7199999999998"/>
    <x v="3"/>
    <x v="0"/>
    <n v="4"/>
    <x v="3"/>
    <x v="17"/>
    <n v="2025"/>
  </r>
  <r>
    <x v="544"/>
    <s v="Carol Wilson"/>
    <x v="35"/>
    <x v="1"/>
    <x v="377"/>
    <d v="2024-01-22T00:00:00"/>
    <x v="4"/>
    <x v="18"/>
    <n v="11741.84"/>
    <x v="1"/>
    <x v="0"/>
    <n v="9"/>
    <x v="3"/>
    <x v="23"/>
    <n v="2024"/>
  </r>
  <r>
    <x v="545"/>
    <s v="Emily Jackson"/>
    <x v="38"/>
    <x v="1"/>
    <x v="378"/>
    <d v="2025-10-21T00:00:00"/>
    <x v="0"/>
    <x v="6"/>
    <n v="17157.7"/>
    <x v="1"/>
    <x v="1"/>
    <n v="8"/>
    <x v="0"/>
    <x v="14"/>
    <n v="2025"/>
  </r>
  <r>
    <x v="546"/>
    <s v="Susan Clark"/>
    <x v="26"/>
    <x v="1"/>
    <x v="119"/>
    <d v="2025-05-17T00:00:00"/>
    <x v="2"/>
    <x v="33"/>
    <n v="1202.17"/>
    <x v="2"/>
    <x v="2"/>
    <n v="1"/>
    <x v="1"/>
    <x v="13"/>
    <n v="2025"/>
  </r>
  <r>
    <x v="547"/>
    <s v="David Johnson"/>
    <x v="74"/>
    <x v="0"/>
    <x v="379"/>
    <d v="2025-05-26T00:00:00"/>
    <x v="3"/>
    <x v="9"/>
    <n v="963.75"/>
    <x v="6"/>
    <x v="0"/>
    <n v="1"/>
    <x v="4"/>
    <x v="13"/>
    <n v="2025"/>
  </r>
  <r>
    <x v="548"/>
    <s v="Andrew White"/>
    <x v="45"/>
    <x v="0"/>
    <x v="124"/>
    <d v="2025-07-04T00:00:00"/>
    <x v="3"/>
    <x v="9"/>
    <n v="634.45000000000005"/>
    <x v="1"/>
    <x v="0"/>
    <n v="1"/>
    <x v="4"/>
    <x v="22"/>
    <n v="2025"/>
  </r>
  <r>
    <x v="549"/>
    <s v="Joshua Clark"/>
    <x v="13"/>
    <x v="0"/>
    <x v="380"/>
    <d v="2025-07-01T00:00:00"/>
    <x v="4"/>
    <x v="18"/>
    <n v="15003.09"/>
    <x v="0"/>
    <x v="1"/>
    <n v="12"/>
    <x v="1"/>
    <x v="19"/>
    <n v="2025"/>
  </r>
  <r>
    <x v="550"/>
    <s v="Jennifer Anderson"/>
    <x v="79"/>
    <x v="1"/>
    <x v="381"/>
    <d v="2024-08-18T00:00:00"/>
    <x v="1"/>
    <x v="7"/>
    <n v="1936.8"/>
    <x v="1"/>
    <x v="0"/>
    <n v="2"/>
    <x v="2"/>
    <x v="8"/>
    <n v="2024"/>
  </r>
  <r>
    <x v="551"/>
    <s v="Karen Taylor"/>
    <x v="35"/>
    <x v="1"/>
    <x v="275"/>
    <d v="2025-03-23T00:00:00"/>
    <x v="1"/>
    <x v="2"/>
    <n v="6193.25"/>
    <x v="0"/>
    <x v="1"/>
    <n v="3"/>
    <x v="3"/>
    <x v="1"/>
    <n v="2025"/>
  </r>
  <r>
    <x v="552"/>
    <s v="Donna Jackson"/>
    <x v="67"/>
    <x v="1"/>
    <x v="382"/>
    <d v="2025-10-25T00:00:00"/>
    <x v="4"/>
    <x v="11"/>
    <n v="11831.06"/>
    <x v="1"/>
    <x v="2"/>
    <n v="7"/>
    <x v="1"/>
    <x v="14"/>
    <n v="2025"/>
  </r>
  <r>
    <x v="553"/>
    <s v="Richard Perez"/>
    <x v="66"/>
    <x v="0"/>
    <x v="284"/>
    <d v="2025-02-11T00:00:00"/>
    <x v="2"/>
    <x v="16"/>
    <n v="7790.86"/>
    <x v="6"/>
    <x v="0"/>
    <n v="7"/>
    <x v="1"/>
    <x v="10"/>
    <n v="2025"/>
  </r>
  <r>
    <x v="554"/>
    <s v="Nancy Young"/>
    <x v="69"/>
    <x v="1"/>
    <x v="374"/>
    <d v="2025-11-27T00:00:00"/>
    <x v="2"/>
    <x v="8"/>
    <n v="4784.6000000000004"/>
    <x v="5"/>
    <x v="0"/>
    <n v="7"/>
    <x v="2"/>
    <x v="7"/>
    <n v="2025"/>
  </r>
  <r>
    <x v="555"/>
    <s v="James Williams"/>
    <x v="34"/>
    <x v="0"/>
    <x v="383"/>
    <d v="2024-02-09T00:00:00"/>
    <x v="0"/>
    <x v="6"/>
    <n v="11688.29"/>
    <x v="5"/>
    <x v="2"/>
    <n v="4"/>
    <x v="0"/>
    <x v="5"/>
    <n v="2024"/>
  </r>
  <r>
    <x v="556"/>
    <s v="Richard Perez"/>
    <x v="18"/>
    <x v="0"/>
    <x v="248"/>
    <d v="2024-09-17T00:00:00"/>
    <x v="0"/>
    <x v="1"/>
    <n v="18692.25"/>
    <x v="5"/>
    <x v="0"/>
    <n v="8"/>
    <x v="3"/>
    <x v="21"/>
    <n v="2024"/>
  </r>
  <r>
    <x v="557"/>
    <s v="Richard Davis"/>
    <x v="74"/>
    <x v="0"/>
    <x v="235"/>
    <d v="2024-06-05T00:00:00"/>
    <x v="3"/>
    <x v="9"/>
    <n v="3371.75"/>
    <x v="6"/>
    <x v="0"/>
    <n v="5"/>
    <x v="4"/>
    <x v="11"/>
    <n v="2024"/>
  </r>
  <r>
    <x v="558"/>
    <s v="Barbara Martinez"/>
    <x v="25"/>
    <x v="1"/>
    <x v="384"/>
    <d v="2024-08-14T00:00:00"/>
    <x v="1"/>
    <x v="3"/>
    <n v="4382.4799999999996"/>
    <x v="5"/>
    <x v="1"/>
    <n v="2"/>
    <x v="1"/>
    <x v="8"/>
    <n v="2024"/>
  </r>
  <r>
    <x v="559"/>
    <s v="Michelle Brown"/>
    <x v="2"/>
    <x v="1"/>
    <x v="385"/>
    <d v="2024-09-18T00:00:00"/>
    <x v="2"/>
    <x v="4"/>
    <n v="4088.62"/>
    <x v="0"/>
    <x v="2"/>
    <n v="4"/>
    <x v="1"/>
    <x v="21"/>
    <n v="2024"/>
  </r>
  <r>
    <x v="560"/>
    <s v="Mark Lopez"/>
    <x v="9"/>
    <x v="0"/>
    <x v="94"/>
    <d v="2025-07-30T00:00:00"/>
    <x v="3"/>
    <x v="37"/>
    <n v="3324.31"/>
    <x v="1"/>
    <x v="2"/>
    <n v="3"/>
    <x v="4"/>
    <x v="22"/>
    <n v="2025"/>
  </r>
  <r>
    <x v="561"/>
    <s v="Paul Taylor"/>
    <x v="77"/>
    <x v="0"/>
    <x v="386"/>
    <d v="2024-05-09T00:00:00"/>
    <x v="4"/>
    <x v="11"/>
    <n v="9961.07"/>
    <x v="5"/>
    <x v="0"/>
    <n v="8"/>
    <x v="2"/>
    <x v="11"/>
    <n v="2024"/>
  </r>
  <r>
    <x v="562"/>
    <s v="Richard Brown"/>
    <x v="41"/>
    <x v="0"/>
    <x v="387"/>
    <d v="2024-01-30T00:00:00"/>
    <x v="2"/>
    <x v="16"/>
    <n v="8841.14"/>
    <x v="2"/>
    <x v="0"/>
    <n v="6"/>
    <x v="1"/>
    <x v="23"/>
    <n v="2024"/>
  </r>
  <r>
    <x v="563"/>
    <s v="David Williams"/>
    <x v="68"/>
    <x v="0"/>
    <x v="388"/>
    <d v="2025-04-12T00:00:00"/>
    <x v="3"/>
    <x v="9"/>
    <n v="5228.9399999999996"/>
    <x v="4"/>
    <x v="1"/>
    <n v="3"/>
    <x v="4"/>
    <x v="18"/>
    <n v="2025"/>
  </r>
  <r>
    <x v="564"/>
    <s v="Daniel Williams"/>
    <x v="44"/>
    <x v="0"/>
    <x v="46"/>
    <d v="2025-11-10T00:00:00"/>
    <x v="2"/>
    <x v="21"/>
    <n v="6395.28"/>
    <x v="3"/>
    <x v="0"/>
    <n v="5"/>
    <x v="3"/>
    <x v="7"/>
    <n v="2025"/>
  </r>
  <r>
    <x v="565"/>
    <s v="Jennifer Young"/>
    <x v="54"/>
    <x v="1"/>
    <x v="384"/>
    <d v="2024-08-13T00:00:00"/>
    <x v="2"/>
    <x v="16"/>
    <n v="973.65"/>
    <x v="1"/>
    <x v="1"/>
    <n v="1"/>
    <x v="1"/>
    <x v="8"/>
    <n v="2024"/>
  </r>
  <r>
    <x v="566"/>
    <s v="Joshua Garcia"/>
    <x v="24"/>
    <x v="0"/>
    <x v="389"/>
    <d v="2025-03-13T00:00:00"/>
    <x v="0"/>
    <x v="6"/>
    <n v="10137.39"/>
    <x v="5"/>
    <x v="2"/>
    <n v="5"/>
    <x v="0"/>
    <x v="1"/>
    <n v="2025"/>
  </r>
  <r>
    <x v="567"/>
    <s v="Ashley Moore"/>
    <x v="57"/>
    <x v="1"/>
    <x v="161"/>
    <d v="2024-01-21T00:00:00"/>
    <x v="4"/>
    <x v="14"/>
    <n v="22947.49"/>
    <x v="1"/>
    <x v="0"/>
    <n v="12"/>
    <x v="2"/>
    <x v="23"/>
    <n v="2024"/>
  </r>
  <r>
    <x v="568"/>
    <s v="Kevin Anderson"/>
    <x v="13"/>
    <x v="0"/>
    <x v="193"/>
    <d v="2024-09-20T00:00:00"/>
    <x v="4"/>
    <x v="26"/>
    <n v="2438.71"/>
    <x v="5"/>
    <x v="2"/>
    <n v="2"/>
    <x v="1"/>
    <x v="21"/>
    <n v="2024"/>
  </r>
  <r>
    <x v="569"/>
    <s v="Barbara Smith"/>
    <x v="55"/>
    <x v="1"/>
    <x v="352"/>
    <d v="2024-03-11T00:00:00"/>
    <x v="1"/>
    <x v="36"/>
    <n v="1963.87"/>
    <x v="1"/>
    <x v="2"/>
    <n v="2"/>
    <x v="0"/>
    <x v="15"/>
    <n v="2024"/>
  </r>
  <r>
    <x v="570"/>
    <s v="Andrew White"/>
    <x v="72"/>
    <x v="0"/>
    <x v="155"/>
    <d v="2025-06-26T00:00:00"/>
    <x v="3"/>
    <x v="24"/>
    <n v="3527.16"/>
    <x v="5"/>
    <x v="0"/>
    <n v="3"/>
    <x v="4"/>
    <x v="19"/>
    <n v="2025"/>
  </r>
  <r>
    <x v="571"/>
    <s v="Richard Thomas"/>
    <x v="17"/>
    <x v="0"/>
    <x v="194"/>
    <d v="2025-07-29T00:00:00"/>
    <x v="1"/>
    <x v="36"/>
    <n v="5342.79"/>
    <x v="5"/>
    <x v="0"/>
    <n v="3"/>
    <x v="3"/>
    <x v="22"/>
    <n v="2025"/>
  </r>
  <r>
    <x v="572"/>
    <s v="Betty Jackson"/>
    <x v="81"/>
    <x v="1"/>
    <x v="390"/>
    <d v="2024-08-31T00:00:00"/>
    <x v="4"/>
    <x v="14"/>
    <n v="30203.49"/>
    <x v="6"/>
    <x v="1"/>
    <n v="12"/>
    <x v="2"/>
    <x v="8"/>
    <n v="2024"/>
  </r>
  <r>
    <x v="573"/>
    <s v="Joshua Clark"/>
    <x v="26"/>
    <x v="0"/>
    <x v="391"/>
    <d v="2024-05-01T00:00:00"/>
    <x v="4"/>
    <x v="14"/>
    <n v="7312.84"/>
    <x v="5"/>
    <x v="1"/>
    <n v="6"/>
    <x v="1"/>
    <x v="2"/>
    <n v="2024"/>
  </r>
  <r>
    <x v="574"/>
    <s v="Sarah Robinson"/>
    <x v="51"/>
    <x v="1"/>
    <x v="235"/>
    <d v="2024-06-04T00:00:00"/>
    <x v="2"/>
    <x v="33"/>
    <n v="4926.28"/>
    <x v="3"/>
    <x v="0"/>
    <n v="4"/>
    <x v="2"/>
    <x v="11"/>
    <n v="2024"/>
  </r>
  <r>
    <x v="575"/>
    <s v="Kimberly Moore"/>
    <x v="62"/>
    <x v="1"/>
    <x v="269"/>
    <d v="2025-09-08T00:00:00"/>
    <x v="1"/>
    <x v="3"/>
    <n v="3526.66"/>
    <x v="6"/>
    <x v="2"/>
    <n v="2"/>
    <x v="1"/>
    <x v="20"/>
    <n v="2025"/>
  </r>
  <r>
    <x v="576"/>
    <s v="Kimberly Jones"/>
    <x v="52"/>
    <x v="1"/>
    <x v="392"/>
    <d v="2025-05-04T00:00:00"/>
    <x v="2"/>
    <x v="21"/>
    <n v="3004.47"/>
    <x v="1"/>
    <x v="0"/>
    <n v="4"/>
    <x v="1"/>
    <x v="18"/>
    <n v="2025"/>
  </r>
  <r>
    <x v="577"/>
    <s v="Michael Brown"/>
    <x v="55"/>
    <x v="0"/>
    <x v="136"/>
    <d v="2025-05-23T00:00:00"/>
    <x v="1"/>
    <x v="31"/>
    <n v="988.47"/>
    <x v="3"/>
    <x v="0"/>
    <n v="1"/>
    <x v="0"/>
    <x v="13"/>
    <n v="2025"/>
  </r>
  <r>
    <x v="578"/>
    <s v="Jennifer Lee"/>
    <x v="39"/>
    <x v="1"/>
    <x v="286"/>
    <d v="2025-07-14T00:00:00"/>
    <x v="0"/>
    <x v="29"/>
    <n v="8993.9699999999993"/>
    <x v="0"/>
    <x v="0"/>
    <n v="7"/>
    <x v="0"/>
    <x v="22"/>
    <n v="2025"/>
  </r>
  <r>
    <x v="579"/>
    <s v="Anthony Moore"/>
    <x v="21"/>
    <x v="0"/>
    <x v="393"/>
    <d v="2025-07-05T00:00:00"/>
    <x v="0"/>
    <x v="19"/>
    <n v="7934.14"/>
    <x v="1"/>
    <x v="0"/>
    <n v="4"/>
    <x v="1"/>
    <x v="22"/>
    <n v="2025"/>
  </r>
  <r>
    <x v="580"/>
    <s v="Elizabeth Thomas"/>
    <x v="17"/>
    <x v="1"/>
    <x v="394"/>
    <d v="2025-09-26T00:00:00"/>
    <x v="1"/>
    <x v="32"/>
    <n v="2517.29"/>
    <x v="1"/>
    <x v="0"/>
    <n v="3"/>
    <x v="3"/>
    <x v="20"/>
    <n v="2025"/>
  </r>
  <r>
    <x v="581"/>
    <s v="William Hernandez"/>
    <x v="47"/>
    <x v="0"/>
    <x v="395"/>
    <d v="2024-07-08T00:00:00"/>
    <x v="0"/>
    <x v="0"/>
    <n v="12873.58"/>
    <x v="5"/>
    <x v="1"/>
    <n v="8"/>
    <x v="3"/>
    <x v="16"/>
    <n v="2024"/>
  </r>
  <r>
    <x v="582"/>
    <s v="Barbara Martin"/>
    <x v="32"/>
    <x v="1"/>
    <x v="269"/>
    <d v="2025-09-10T00:00:00"/>
    <x v="2"/>
    <x v="4"/>
    <n v="5208.9799999999996"/>
    <x v="1"/>
    <x v="0"/>
    <n v="4"/>
    <x v="1"/>
    <x v="20"/>
    <n v="2025"/>
  </r>
  <r>
    <x v="583"/>
    <s v="Joseph Davis"/>
    <x v="64"/>
    <x v="0"/>
    <x v="396"/>
    <d v="2024-07-25T00:00:00"/>
    <x v="0"/>
    <x v="1"/>
    <n v="16136.12"/>
    <x v="6"/>
    <x v="0"/>
    <n v="9"/>
    <x v="1"/>
    <x v="0"/>
    <n v="2024"/>
  </r>
  <r>
    <x v="584"/>
    <s v="Lisa Thomas"/>
    <x v="74"/>
    <x v="1"/>
    <x v="397"/>
    <d v="2025-08-08T00:00:00"/>
    <x v="3"/>
    <x v="23"/>
    <n v="4827.5"/>
    <x v="1"/>
    <x v="2"/>
    <n v="4"/>
    <x v="4"/>
    <x v="6"/>
    <n v="2025"/>
  </r>
  <r>
    <x v="585"/>
    <s v="Kenneth Jones"/>
    <x v="60"/>
    <x v="0"/>
    <x v="252"/>
    <d v="2025-07-15T00:00:00"/>
    <x v="1"/>
    <x v="3"/>
    <n v="6858.75"/>
    <x v="1"/>
    <x v="1"/>
    <n v="3"/>
    <x v="2"/>
    <x v="22"/>
    <n v="2025"/>
  </r>
  <r>
    <x v="586"/>
    <s v="Lisa Smith"/>
    <x v="65"/>
    <x v="1"/>
    <x v="88"/>
    <d v="2024-11-21T00:00:00"/>
    <x v="3"/>
    <x v="24"/>
    <n v="6485.39"/>
    <x v="5"/>
    <x v="2"/>
    <n v="5"/>
    <x v="4"/>
    <x v="4"/>
    <n v="2024"/>
  </r>
  <r>
    <x v="587"/>
    <s v="Anthony Miller"/>
    <x v="48"/>
    <x v="0"/>
    <x v="398"/>
    <d v="2024-07-29T00:00:00"/>
    <x v="2"/>
    <x v="10"/>
    <n v="5888.84"/>
    <x v="0"/>
    <x v="0"/>
    <n v="4"/>
    <x v="1"/>
    <x v="0"/>
    <n v="2024"/>
  </r>
  <r>
    <x v="588"/>
    <s v="William Lopez"/>
    <x v="0"/>
    <x v="0"/>
    <x v="70"/>
    <d v="2025-04-02T00:00:00"/>
    <x v="2"/>
    <x v="21"/>
    <n v="988.37"/>
    <x v="3"/>
    <x v="0"/>
    <n v="1"/>
    <x v="0"/>
    <x v="18"/>
    <n v="2025"/>
  </r>
  <r>
    <x v="589"/>
    <s v="Thomas Harris"/>
    <x v="63"/>
    <x v="0"/>
    <x v="377"/>
    <d v="2024-01-26T00:00:00"/>
    <x v="4"/>
    <x v="26"/>
    <n v="20871.689999999999"/>
    <x v="0"/>
    <x v="2"/>
    <n v="13"/>
    <x v="3"/>
    <x v="23"/>
    <n v="2024"/>
  </r>
  <r>
    <x v="590"/>
    <s v="Lisa Jackson"/>
    <x v="22"/>
    <x v="1"/>
    <x v="142"/>
    <d v="2025-10-02T00:00:00"/>
    <x v="5"/>
    <x v="28"/>
    <n v="14061.87"/>
    <x v="4"/>
    <x v="0"/>
    <n v="6"/>
    <x v="3"/>
    <x v="20"/>
    <n v="2025"/>
  </r>
  <r>
    <x v="591"/>
    <s v="Andrew Hernandez"/>
    <x v="76"/>
    <x v="0"/>
    <x v="238"/>
    <d v="2024-09-27T00:00:00"/>
    <x v="2"/>
    <x v="5"/>
    <n v="3702.92"/>
    <x v="5"/>
    <x v="1"/>
    <n v="3"/>
    <x v="1"/>
    <x v="21"/>
    <n v="2024"/>
  </r>
  <r>
    <x v="592"/>
    <s v="Christopher Jackson"/>
    <x v="18"/>
    <x v="0"/>
    <x v="133"/>
    <d v="2024-04-04T00:00:00"/>
    <x v="0"/>
    <x v="19"/>
    <n v="6940.9"/>
    <x v="5"/>
    <x v="0"/>
    <n v="4"/>
    <x v="3"/>
    <x v="15"/>
    <n v="2024"/>
  </r>
  <r>
    <x v="593"/>
    <s v="Joseph Clark"/>
    <x v="76"/>
    <x v="0"/>
    <x v="132"/>
    <d v="2025-07-20T00:00:00"/>
    <x v="0"/>
    <x v="1"/>
    <n v="25312.2"/>
    <x v="5"/>
    <x v="1"/>
    <n v="9"/>
    <x v="1"/>
    <x v="22"/>
    <n v="2025"/>
  </r>
  <r>
    <x v="594"/>
    <s v="Brian Clark"/>
    <x v="83"/>
    <x v="0"/>
    <x v="399"/>
    <d v="2025-03-26T00:00:00"/>
    <x v="1"/>
    <x v="31"/>
    <n v="4859.2700000000004"/>
    <x v="0"/>
    <x v="1"/>
    <n v="3"/>
    <x v="2"/>
    <x v="1"/>
    <n v="2025"/>
  </r>
  <r>
    <x v="595"/>
    <s v="Dorothy Garcia"/>
    <x v="9"/>
    <x v="1"/>
    <x v="400"/>
    <d v="2025-01-01T00:00:00"/>
    <x v="3"/>
    <x v="25"/>
    <n v="5071.3900000000003"/>
    <x v="3"/>
    <x v="2"/>
    <n v="4"/>
    <x v="4"/>
    <x v="12"/>
    <n v="2024"/>
  </r>
  <r>
    <x v="596"/>
    <s v="Dorothy Robinson"/>
    <x v="6"/>
    <x v="1"/>
    <x v="401"/>
    <d v="2024-04-13T00:00:00"/>
    <x v="2"/>
    <x v="8"/>
    <n v="826.69"/>
    <x v="1"/>
    <x v="0"/>
    <n v="1"/>
    <x v="3"/>
    <x v="2"/>
    <n v="2024"/>
  </r>
  <r>
    <x v="597"/>
    <s v="Kenneth Thomas"/>
    <x v="66"/>
    <x v="0"/>
    <x v="30"/>
    <d v="2024-06-26T00:00:00"/>
    <x v="1"/>
    <x v="2"/>
    <n v="3573.44"/>
    <x v="1"/>
    <x v="0"/>
    <n v="3"/>
    <x v="1"/>
    <x v="16"/>
    <n v="2024"/>
  </r>
  <r>
    <x v="598"/>
    <s v="Betty Davis"/>
    <x v="75"/>
    <x v="1"/>
    <x v="4"/>
    <d v="2024-11-27T00:00:00"/>
    <x v="3"/>
    <x v="25"/>
    <n v="3120.86"/>
    <x v="5"/>
    <x v="0"/>
    <n v="2"/>
    <x v="4"/>
    <x v="4"/>
    <n v="2024"/>
  </r>
  <r>
    <x v="599"/>
    <s v="Jessica Anderson"/>
    <x v="19"/>
    <x v="1"/>
    <x v="402"/>
    <d v="2025-03-26T00:00:00"/>
    <x v="1"/>
    <x v="32"/>
    <n v="1050.82"/>
    <x v="5"/>
    <x v="1"/>
    <n v="1"/>
    <x v="3"/>
    <x v="1"/>
    <n v="2025"/>
  </r>
  <r>
    <x v="600"/>
    <s v="Barbara Hernandez"/>
    <x v="23"/>
    <x v="1"/>
    <x v="403"/>
    <d v="2024-03-20T00:00:00"/>
    <x v="1"/>
    <x v="2"/>
    <n v="4246.95"/>
    <x v="5"/>
    <x v="2"/>
    <n v="3"/>
    <x v="0"/>
    <x v="15"/>
    <n v="2024"/>
  </r>
  <r>
    <x v="601"/>
    <s v="Daniel Moore"/>
    <x v="12"/>
    <x v="0"/>
    <x v="404"/>
    <d v="2025-09-21T00:00:00"/>
    <x v="1"/>
    <x v="36"/>
    <n v="3111.41"/>
    <x v="3"/>
    <x v="0"/>
    <n v="3"/>
    <x v="2"/>
    <x v="20"/>
    <n v="2025"/>
  </r>
  <r>
    <x v="602"/>
    <s v="Ashley Moore"/>
    <x v="70"/>
    <x v="1"/>
    <x v="100"/>
    <d v="2024-12-09T00:00:00"/>
    <x v="2"/>
    <x v="4"/>
    <n v="6980.98"/>
    <x v="3"/>
    <x v="0"/>
    <n v="5"/>
    <x v="0"/>
    <x v="12"/>
    <n v="2024"/>
  </r>
  <r>
    <x v="603"/>
    <s v="Paul Smith"/>
    <x v="63"/>
    <x v="0"/>
    <x v="405"/>
    <d v="2024-02-17T00:00:00"/>
    <x v="5"/>
    <x v="30"/>
    <n v="11620.41"/>
    <x v="6"/>
    <x v="0"/>
    <n v="9"/>
    <x v="3"/>
    <x v="5"/>
    <n v="2024"/>
  </r>
  <r>
    <x v="604"/>
    <s v="Donna Ramirez"/>
    <x v="33"/>
    <x v="1"/>
    <x v="406"/>
    <d v="2025-07-25T00:00:00"/>
    <x v="1"/>
    <x v="3"/>
    <n v="3974.41"/>
    <x v="4"/>
    <x v="0"/>
    <n v="3"/>
    <x v="0"/>
    <x v="22"/>
    <n v="2025"/>
  </r>
  <r>
    <x v="605"/>
    <s v="Richard Robinson"/>
    <x v="67"/>
    <x v="0"/>
    <x v="407"/>
    <d v="2024-06-16T00:00:00"/>
    <x v="5"/>
    <x v="28"/>
    <n v="14702.17"/>
    <x v="1"/>
    <x v="1"/>
    <n v="6"/>
    <x v="1"/>
    <x v="16"/>
    <n v="2024"/>
  </r>
  <r>
    <x v="606"/>
    <s v="Thomas Perez"/>
    <x v="63"/>
    <x v="0"/>
    <x v="408"/>
    <d v="2025-05-25T00:00:00"/>
    <x v="0"/>
    <x v="29"/>
    <n v="17086.830000000002"/>
    <x v="3"/>
    <x v="0"/>
    <n v="7"/>
    <x v="3"/>
    <x v="13"/>
    <n v="2025"/>
  </r>
  <r>
    <x v="607"/>
    <s v="Richard Anderson"/>
    <x v="12"/>
    <x v="0"/>
    <x v="377"/>
    <d v="2024-01-14T00:00:00"/>
    <x v="1"/>
    <x v="15"/>
    <n v="867.61"/>
    <x v="6"/>
    <x v="0"/>
    <n v="1"/>
    <x v="2"/>
    <x v="23"/>
    <n v="2024"/>
  </r>
  <r>
    <x v="608"/>
    <s v="Dorothy Martin"/>
    <x v="38"/>
    <x v="1"/>
    <x v="213"/>
    <d v="2025-04-23T00:00:00"/>
    <x v="2"/>
    <x v="4"/>
    <n v="4084.48"/>
    <x v="1"/>
    <x v="0"/>
    <n v="6"/>
    <x v="0"/>
    <x v="18"/>
    <n v="2025"/>
  </r>
  <r>
    <x v="609"/>
    <s v="Kimberly Lee"/>
    <x v="62"/>
    <x v="1"/>
    <x v="94"/>
    <d v="2025-07-28T00:00:00"/>
    <x v="2"/>
    <x v="5"/>
    <n v="1290.53"/>
    <x v="3"/>
    <x v="0"/>
    <n v="1"/>
    <x v="1"/>
    <x v="22"/>
    <n v="2025"/>
  </r>
  <r>
    <x v="610"/>
    <s v="Ashley Martinez"/>
    <x v="68"/>
    <x v="1"/>
    <x v="38"/>
    <d v="2024-12-21T00:00:00"/>
    <x v="3"/>
    <x v="24"/>
    <n v="3707.94"/>
    <x v="3"/>
    <x v="0"/>
    <n v="4"/>
    <x v="4"/>
    <x v="12"/>
    <n v="2024"/>
  </r>
  <r>
    <x v="611"/>
    <s v="Joseph Jones"/>
    <x v="0"/>
    <x v="0"/>
    <x v="409"/>
    <d v="2025-05-11T00:00:00"/>
    <x v="5"/>
    <x v="12"/>
    <n v="15346.13"/>
    <x v="1"/>
    <x v="0"/>
    <n v="9"/>
    <x v="0"/>
    <x v="13"/>
    <n v="2025"/>
  </r>
  <r>
    <x v="612"/>
    <s v="Sarah Moore"/>
    <x v="61"/>
    <x v="1"/>
    <x v="125"/>
    <d v="2025-04-07T00:00:00"/>
    <x v="2"/>
    <x v="10"/>
    <n v="4821.37"/>
    <x v="1"/>
    <x v="0"/>
    <n v="5"/>
    <x v="3"/>
    <x v="18"/>
    <n v="2025"/>
  </r>
  <r>
    <x v="613"/>
    <s v="Paul Hernandez"/>
    <x v="26"/>
    <x v="0"/>
    <x v="410"/>
    <d v="2025-09-01T00:00:00"/>
    <x v="0"/>
    <x v="19"/>
    <n v="15787.69"/>
    <x v="6"/>
    <x v="0"/>
    <n v="7"/>
    <x v="1"/>
    <x v="6"/>
    <n v="2025"/>
  </r>
  <r>
    <x v="614"/>
    <s v="Kimberly Jones"/>
    <x v="31"/>
    <x v="1"/>
    <x v="394"/>
    <d v="2025-09-26T00:00:00"/>
    <x v="3"/>
    <x v="23"/>
    <n v="5118.0600000000004"/>
    <x v="1"/>
    <x v="0"/>
    <n v="3"/>
    <x v="4"/>
    <x v="20"/>
    <n v="2025"/>
  </r>
  <r>
    <x v="615"/>
    <s v="Sandra Lewis"/>
    <x v="19"/>
    <x v="1"/>
    <x v="38"/>
    <d v="2024-12-18T00:00:00"/>
    <x v="1"/>
    <x v="7"/>
    <n v="1184.98"/>
    <x v="1"/>
    <x v="0"/>
    <n v="1"/>
    <x v="3"/>
    <x v="12"/>
    <n v="2024"/>
  </r>
  <r>
    <x v="616"/>
    <s v="Nancy Martinez"/>
    <x v="43"/>
    <x v="1"/>
    <x v="411"/>
    <d v="2024-01-29T00:00:00"/>
    <x v="3"/>
    <x v="37"/>
    <n v="2558.2800000000002"/>
    <x v="3"/>
    <x v="0"/>
    <n v="3"/>
    <x v="4"/>
    <x v="23"/>
    <n v="2024"/>
  </r>
  <r>
    <x v="617"/>
    <s v="Daniel Robinson"/>
    <x v="52"/>
    <x v="0"/>
    <x v="268"/>
    <d v="2025-01-16T00:00:00"/>
    <x v="0"/>
    <x v="20"/>
    <n v="3998.34"/>
    <x v="6"/>
    <x v="0"/>
    <n v="3"/>
    <x v="1"/>
    <x v="17"/>
    <n v="2025"/>
  </r>
  <r>
    <x v="618"/>
    <s v="Lisa Brown"/>
    <x v="54"/>
    <x v="1"/>
    <x v="175"/>
    <d v="2024-12-03T00:00:00"/>
    <x v="4"/>
    <x v="13"/>
    <n v="4286.6400000000003"/>
    <x v="5"/>
    <x v="1"/>
    <n v="3"/>
    <x v="1"/>
    <x v="4"/>
    <n v="2024"/>
  </r>
  <r>
    <x v="619"/>
    <s v="Mary Garcia"/>
    <x v="32"/>
    <x v="1"/>
    <x v="412"/>
    <d v="2025-11-04T00:00:00"/>
    <x v="0"/>
    <x v="6"/>
    <n v="21392.04"/>
    <x v="1"/>
    <x v="0"/>
    <n v="9"/>
    <x v="1"/>
    <x v="14"/>
    <n v="2025"/>
  </r>
  <r>
    <x v="620"/>
    <s v="Robert Ramirez"/>
    <x v="35"/>
    <x v="0"/>
    <x v="353"/>
    <d v="2025-11-24T00:00:00"/>
    <x v="1"/>
    <x v="7"/>
    <n v="3201.39"/>
    <x v="1"/>
    <x v="0"/>
    <n v="2"/>
    <x v="3"/>
    <x v="7"/>
    <n v="2025"/>
  </r>
  <r>
    <x v="621"/>
    <s v="Anthony Clark"/>
    <x v="73"/>
    <x v="0"/>
    <x v="413"/>
    <d v="2024-07-30T00:00:00"/>
    <x v="3"/>
    <x v="23"/>
    <n v="3300.07"/>
    <x v="6"/>
    <x v="0"/>
    <n v="2"/>
    <x v="4"/>
    <x v="0"/>
    <n v="2024"/>
  </r>
  <r>
    <x v="622"/>
    <s v="Paul Martinez"/>
    <x v="9"/>
    <x v="0"/>
    <x v="414"/>
    <d v="2025-06-05T00:00:00"/>
    <x v="3"/>
    <x v="24"/>
    <n v="784.49"/>
    <x v="3"/>
    <x v="0"/>
    <n v="1"/>
    <x v="4"/>
    <x v="19"/>
    <n v="2025"/>
  </r>
  <r>
    <x v="623"/>
    <s v="Brian Lopez"/>
    <x v="82"/>
    <x v="0"/>
    <x v="15"/>
    <d v="2025-02-08T00:00:00"/>
    <x v="2"/>
    <x v="8"/>
    <n v="1170.5999999999999"/>
    <x v="1"/>
    <x v="0"/>
    <n v="1"/>
    <x v="2"/>
    <x v="10"/>
    <n v="2025"/>
  </r>
  <r>
    <x v="624"/>
    <s v="Richard Rodriguez"/>
    <x v="28"/>
    <x v="0"/>
    <x v="415"/>
    <d v="2024-11-08T00:00:00"/>
    <x v="0"/>
    <x v="0"/>
    <n v="11503.8"/>
    <x v="0"/>
    <x v="2"/>
    <n v="4"/>
    <x v="0"/>
    <x v="4"/>
    <n v="2024"/>
  </r>
  <r>
    <x v="625"/>
    <s v="Jessica Ramirez"/>
    <x v="71"/>
    <x v="1"/>
    <x v="416"/>
    <d v="2025-06-30T00:00:00"/>
    <x v="3"/>
    <x v="25"/>
    <n v="1522.86"/>
    <x v="3"/>
    <x v="1"/>
    <n v="2"/>
    <x v="4"/>
    <x v="19"/>
    <n v="2025"/>
  </r>
  <r>
    <x v="626"/>
    <s v="Sandra Jackson"/>
    <x v="58"/>
    <x v="1"/>
    <x v="177"/>
    <d v="2025-02-27T00:00:00"/>
    <x v="5"/>
    <x v="17"/>
    <n v="22757.119999999999"/>
    <x v="3"/>
    <x v="0"/>
    <n v="10"/>
    <x v="1"/>
    <x v="10"/>
    <n v="2025"/>
  </r>
  <r>
    <x v="627"/>
    <s v="Daniel Jones"/>
    <x v="73"/>
    <x v="0"/>
    <x v="417"/>
    <d v="2024-09-06T00:00:00"/>
    <x v="3"/>
    <x v="24"/>
    <n v="3197.15"/>
    <x v="5"/>
    <x v="2"/>
    <n v="5"/>
    <x v="4"/>
    <x v="21"/>
    <n v="2024"/>
  </r>
  <r>
    <x v="628"/>
    <s v="Sarah Ramirez"/>
    <x v="32"/>
    <x v="1"/>
    <x v="303"/>
    <d v="2024-05-31T00:00:00"/>
    <x v="2"/>
    <x v="4"/>
    <n v="2710.85"/>
    <x v="0"/>
    <x v="1"/>
    <n v="2"/>
    <x v="1"/>
    <x v="11"/>
    <n v="2024"/>
  </r>
  <r>
    <x v="629"/>
    <s v="Michelle Young"/>
    <x v="62"/>
    <x v="1"/>
    <x v="404"/>
    <d v="2025-09-20T00:00:00"/>
    <x v="1"/>
    <x v="31"/>
    <n v="4532.09"/>
    <x v="3"/>
    <x v="1"/>
    <n v="2"/>
    <x v="1"/>
    <x v="20"/>
    <n v="2025"/>
  </r>
  <r>
    <x v="630"/>
    <s v="Daniel Hernandez"/>
    <x v="42"/>
    <x v="0"/>
    <x v="300"/>
    <d v="2025-07-22T00:00:00"/>
    <x v="4"/>
    <x v="11"/>
    <n v="4972.62"/>
    <x v="1"/>
    <x v="0"/>
    <n v="3"/>
    <x v="3"/>
    <x v="22"/>
    <n v="2025"/>
  </r>
  <r>
    <x v="631"/>
    <s v="Robert Rodriguez"/>
    <x v="37"/>
    <x v="0"/>
    <x v="418"/>
    <d v="2024-11-15T00:00:00"/>
    <x v="3"/>
    <x v="37"/>
    <n v="3235.05"/>
    <x v="5"/>
    <x v="0"/>
    <n v="2"/>
    <x v="4"/>
    <x v="4"/>
    <n v="2024"/>
  </r>
  <r>
    <x v="632"/>
    <s v="Emily Jones"/>
    <x v="27"/>
    <x v="1"/>
    <x v="270"/>
    <d v="2025-10-09T00:00:00"/>
    <x v="2"/>
    <x v="21"/>
    <n v="2401.17"/>
    <x v="3"/>
    <x v="1"/>
    <n v="2"/>
    <x v="3"/>
    <x v="14"/>
    <n v="2025"/>
  </r>
  <r>
    <x v="633"/>
    <s v="Donna Garcia"/>
    <x v="38"/>
    <x v="1"/>
    <x v="419"/>
    <d v="2024-05-19T00:00:00"/>
    <x v="4"/>
    <x v="27"/>
    <n v="33210.050000000003"/>
    <x v="1"/>
    <x v="1"/>
    <n v="12"/>
    <x v="0"/>
    <x v="11"/>
    <n v="2024"/>
  </r>
  <r>
    <x v="634"/>
    <s v="Donna Lewis"/>
    <x v="32"/>
    <x v="1"/>
    <x v="38"/>
    <d v="2024-12-27T00:00:00"/>
    <x v="4"/>
    <x v="13"/>
    <n v="23689.65"/>
    <x v="3"/>
    <x v="0"/>
    <n v="10"/>
    <x v="1"/>
    <x v="12"/>
    <n v="2024"/>
  </r>
  <r>
    <x v="635"/>
    <s v="Steven Thompson"/>
    <x v="82"/>
    <x v="0"/>
    <x v="420"/>
    <d v="2025-11-02T00:00:00"/>
    <x v="2"/>
    <x v="4"/>
    <n v="2927.98"/>
    <x v="6"/>
    <x v="0"/>
    <n v="3"/>
    <x v="2"/>
    <x v="14"/>
    <n v="2025"/>
  </r>
  <r>
    <x v="636"/>
    <s v="Karen Thomas"/>
    <x v="23"/>
    <x v="1"/>
    <x v="421"/>
    <d v="2025-04-22T00:00:00"/>
    <x v="0"/>
    <x v="19"/>
    <n v="10908.77"/>
    <x v="3"/>
    <x v="1"/>
    <n v="9"/>
    <x v="0"/>
    <x v="18"/>
    <n v="2025"/>
  </r>
  <r>
    <x v="637"/>
    <s v="Thomas Martinez"/>
    <x v="4"/>
    <x v="0"/>
    <x v="107"/>
    <d v="2024-07-10T00:00:00"/>
    <x v="0"/>
    <x v="1"/>
    <n v="9405.2000000000007"/>
    <x v="5"/>
    <x v="1"/>
    <n v="5"/>
    <x v="1"/>
    <x v="0"/>
    <n v="2024"/>
  </r>
  <r>
    <x v="638"/>
    <s v="Jennifer Harris"/>
    <x v="35"/>
    <x v="1"/>
    <x v="247"/>
    <d v="2025-08-27T00:00:00"/>
    <x v="5"/>
    <x v="12"/>
    <n v="11960.8"/>
    <x v="1"/>
    <x v="0"/>
    <n v="8"/>
    <x v="3"/>
    <x v="6"/>
    <n v="2025"/>
  </r>
  <r>
    <x v="639"/>
    <s v="Michael Garcia"/>
    <x v="54"/>
    <x v="0"/>
    <x v="422"/>
    <d v="2024-09-03T00:00:00"/>
    <x v="2"/>
    <x v="8"/>
    <n v="1174.7"/>
    <x v="3"/>
    <x v="1"/>
    <n v="1"/>
    <x v="1"/>
    <x v="21"/>
    <n v="2024"/>
  </r>
  <r>
    <x v="640"/>
    <s v="Kenneth Lee"/>
    <x v="63"/>
    <x v="0"/>
    <x v="423"/>
    <d v="2024-01-30T00:00:00"/>
    <x v="2"/>
    <x v="33"/>
    <n v="6487.34"/>
    <x v="1"/>
    <x v="0"/>
    <n v="7"/>
    <x v="3"/>
    <x v="23"/>
    <n v="2024"/>
  </r>
  <r>
    <x v="641"/>
    <s v="Anthony Moore"/>
    <x v="11"/>
    <x v="0"/>
    <x v="65"/>
    <d v="2025-04-07T00:00:00"/>
    <x v="1"/>
    <x v="36"/>
    <n v="3282.55"/>
    <x v="5"/>
    <x v="1"/>
    <n v="2"/>
    <x v="3"/>
    <x v="18"/>
    <n v="2025"/>
  </r>
  <r>
    <x v="642"/>
    <s v="Ashley Jones"/>
    <x v="55"/>
    <x v="1"/>
    <x v="198"/>
    <d v="2025-03-06T00:00:00"/>
    <x v="4"/>
    <x v="14"/>
    <n v="13468.92"/>
    <x v="1"/>
    <x v="0"/>
    <n v="6"/>
    <x v="0"/>
    <x v="10"/>
    <n v="2025"/>
  </r>
  <r>
    <x v="643"/>
    <s v="Thomas Thompson"/>
    <x v="52"/>
    <x v="0"/>
    <x v="230"/>
    <d v="2025-08-04T00:00:00"/>
    <x v="0"/>
    <x v="0"/>
    <n v="7431.19"/>
    <x v="1"/>
    <x v="1"/>
    <n v="5"/>
    <x v="1"/>
    <x v="22"/>
    <n v="2025"/>
  </r>
  <r>
    <x v="644"/>
    <s v="Nancy Davis"/>
    <x v="41"/>
    <x v="1"/>
    <x v="88"/>
    <d v="2024-11-20T00:00:00"/>
    <x v="5"/>
    <x v="17"/>
    <n v="4416.84"/>
    <x v="1"/>
    <x v="2"/>
    <n v="4"/>
    <x v="1"/>
    <x v="4"/>
    <n v="2024"/>
  </r>
  <r>
    <x v="645"/>
    <s v="Michael Johnson"/>
    <x v="41"/>
    <x v="0"/>
    <x v="10"/>
    <d v="2025-11-07T00:00:00"/>
    <x v="1"/>
    <x v="2"/>
    <n v="1265.79"/>
    <x v="1"/>
    <x v="1"/>
    <n v="1"/>
    <x v="1"/>
    <x v="7"/>
    <n v="2025"/>
  </r>
  <r>
    <x v="646"/>
    <s v="Linda Davis"/>
    <x v="44"/>
    <x v="1"/>
    <x v="184"/>
    <d v="2024-08-10T00:00:00"/>
    <x v="2"/>
    <x v="21"/>
    <n v="7496.19"/>
    <x v="1"/>
    <x v="0"/>
    <n v="5"/>
    <x v="3"/>
    <x v="8"/>
    <n v="2024"/>
  </r>
  <r>
    <x v="647"/>
    <s v="Jennifer Jackson"/>
    <x v="6"/>
    <x v="1"/>
    <x v="424"/>
    <d v="2024-04-03T00:00:00"/>
    <x v="2"/>
    <x v="5"/>
    <n v="5991.42"/>
    <x v="6"/>
    <x v="2"/>
    <n v="4"/>
    <x v="3"/>
    <x v="15"/>
    <n v="2024"/>
  </r>
  <r>
    <x v="648"/>
    <s v="Thomas Jones"/>
    <x v="1"/>
    <x v="0"/>
    <x v="315"/>
    <d v="2024-05-26T00:00:00"/>
    <x v="0"/>
    <x v="0"/>
    <n v="12878.2"/>
    <x v="1"/>
    <x v="0"/>
    <n v="10"/>
    <x v="0"/>
    <x v="11"/>
    <n v="2024"/>
  </r>
  <r>
    <x v="649"/>
    <s v="Steven Walker"/>
    <x v="45"/>
    <x v="0"/>
    <x v="425"/>
    <d v="2025-12-21T00:00:00"/>
    <x v="3"/>
    <x v="25"/>
    <n v="4752.84"/>
    <x v="1"/>
    <x v="0"/>
    <n v="4"/>
    <x v="4"/>
    <x v="9"/>
    <n v="2025"/>
  </r>
  <r>
    <x v="650"/>
    <s v="Thomas Robinson"/>
    <x v="51"/>
    <x v="0"/>
    <x v="56"/>
    <d v="2024-05-24T00:00:00"/>
    <x v="2"/>
    <x v="10"/>
    <n v="1394.75"/>
    <x v="2"/>
    <x v="1"/>
    <n v="1"/>
    <x v="2"/>
    <x v="11"/>
    <n v="2024"/>
  </r>
  <r>
    <x v="651"/>
    <s v="Michael Thomas"/>
    <x v="8"/>
    <x v="0"/>
    <x v="273"/>
    <d v="2024-08-23T00:00:00"/>
    <x v="1"/>
    <x v="3"/>
    <n v="3366.33"/>
    <x v="5"/>
    <x v="1"/>
    <n v="2"/>
    <x v="0"/>
    <x v="8"/>
    <n v="2024"/>
  </r>
  <r>
    <x v="652"/>
    <s v="Sarah Young"/>
    <x v="4"/>
    <x v="1"/>
    <x v="84"/>
    <d v="2024-10-30T00:00:00"/>
    <x v="0"/>
    <x v="1"/>
    <n v="9890.23"/>
    <x v="1"/>
    <x v="0"/>
    <n v="6"/>
    <x v="1"/>
    <x v="3"/>
    <n v="2024"/>
  </r>
  <r>
    <x v="653"/>
    <s v="David Wilson"/>
    <x v="22"/>
    <x v="0"/>
    <x v="426"/>
    <d v="2024-04-01T00:00:00"/>
    <x v="0"/>
    <x v="0"/>
    <n v="10351.120000000001"/>
    <x v="1"/>
    <x v="1"/>
    <n v="4"/>
    <x v="3"/>
    <x v="15"/>
    <n v="2024"/>
  </r>
  <r>
    <x v="654"/>
    <s v="Steven Walker"/>
    <x v="75"/>
    <x v="0"/>
    <x v="427"/>
    <d v="2025-10-26T00:00:00"/>
    <x v="3"/>
    <x v="9"/>
    <n v="836.96"/>
    <x v="5"/>
    <x v="0"/>
    <n v="1"/>
    <x v="4"/>
    <x v="14"/>
    <n v="2025"/>
  </r>
  <r>
    <x v="655"/>
    <s v="Dorothy Perez"/>
    <x v="43"/>
    <x v="1"/>
    <x v="140"/>
    <d v="2024-07-28T00:00:00"/>
    <x v="3"/>
    <x v="22"/>
    <n v="6886.9"/>
    <x v="4"/>
    <x v="1"/>
    <n v="5"/>
    <x v="4"/>
    <x v="0"/>
    <n v="2024"/>
  </r>
  <r>
    <x v="656"/>
    <s v="Kenneth Perez"/>
    <x v="68"/>
    <x v="0"/>
    <x v="428"/>
    <d v="2024-04-11T00:00:00"/>
    <x v="3"/>
    <x v="24"/>
    <n v="7993.91"/>
    <x v="3"/>
    <x v="2"/>
    <n v="5"/>
    <x v="4"/>
    <x v="2"/>
    <n v="2024"/>
  </r>
  <r>
    <x v="657"/>
    <s v="Richard Moore"/>
    <x v="25"/>
    <x v="0"/>
    <x v="142"/>
    <d v="2025-10-03T00:00:00"/>
    <x v="2"/>
    <x v="10"/>
    <n v="9475.6200000000008"/>
    <x v="3"/>
    <x v="0"/>
    <n v="7"/>
    <x v="1"/>
    <x v="20"/>
    <n v="2025"/>
  </r>
  <r>
    <x v="658"/>
    <s v="Kenneth Davis"/>
    <x v="74"/>
    <x v="0"/>
    <x v="357"/>
    <d v="2025-11-19T00:00:00"/>
    <x v="3"/>
    <x v="22"/>
    <n v="8509.42"/>
    <x v="2"/>
    <x v="0"/>
    <n v="5"/>
    <x v="4"/>
    <x v="7"/>
    <n v="2025"/>
  </r>
  <r>
    <x v="659"/>
    <s v="Robert Lopez"/>
    <x v="33"/>
    <x v="0"/>
    <x v="429"/>
    <d v="2024-12-17T00:00:00"/>
    <x v="4"/>
    <x v="14"/>
    <n v="20107.36"/>
    <x v="5"/>
    <x v="0"/>
    <n v="8"/>
    <x v="0"/>
    <x v="12"/>
    <n v="2024"/>
  </r>
  <r>
    <x v="660"/>
    <s v="Matthew Hernandez"/>
    <x v="3"/>
    <x v="0"/>
    <x v="178"/>
    <d v="2024-07-28T00:00:00"/>
    <x v="4"/>
    <x v="18"/>
    <n v="26732.79"/>
    <x v="1"/>
    <x v="0"/>
    <n v="10"/>
    <x v="2"/>
    <x v="0"/>
    <n v="2024"/>
  </r>
  <r>
    <x v="661"/>
    <s v="Christopher Thompson"/>
    <x v="69"/>
    <x v="0"/>
    <x v="230"/>
    <d v="2025-07-31T00:00:00"/>
    <x v="1"/>
    <x v="7"/>
    <n v="2285.5"/>
    <x v="4"/>
    <x v="0"/>
    <n v="1"/>
    <x v="2"/>
    <x v="22"/>
    <n v="2025"/>
  </r>
  <r>
    <x v="662"/>
    <s v="Sarah Williams"/>
    <x v="73"/>
    <x v="1"/>
    <x v="430"/>
    <d v="2024-05-10T00:00:00"/>
    <x v="3"/>
    <x v="9"/>
    <n v="3830.25"/>
    <x v="3"/>
    <x v="1"/>
    <n v="4"/>
    <x v="4"/>
    <x v="11"/>
    <n v="2024"/>
  </r>
  <r>
    <x v="663"/>
    <s v="Donna Brown"/>
    <x v="75"/>
    <x v="1"/>
    <x v="354"/>
    <d v="2024-05-31T00:00:00"/>
    <x v="3"/>
    <x v="24"/>
    <n v="3322.2"/>
    <x v="0"/>
    <x v="0"/>
    <n v="5"/>
    <x v="4"/>
    <x v="11"/>
    <n v="2024"/>
  </r>
  <r>
    <x v="664"/>
    <s v="Carol Smith"/>
    <x v="18"/>
    <x v="1"/>
    <x v="172"/>
    <d v="2024-10-28T00:00:00"/>
    <x v="0"/>
    <x v="6"/>
    <n v="16467.43"/>
    <x v="5"/>
    <x v="0"/>
    <n v="8"/>
    <x v="3"/>
    <x v="3"/>
    <n v="2024"/>
  </r>
  <r>
    <x v="665"/>
    <s v="Karen Martinez"/>
    <x v="0"/>
    <x v="1"/>
    <x v="347"/>
    <d v="2024-07-09T00:00:00"/>
    <x v="4"/>
    <x v="26"/>
    <n v="11600.46"/>
    <x v="6"/>
    <x v="0"/>
    <n v="5"/>
    <x v="0"/>
    <x v="0"/>
    <n v="2024"/>
  </r>
  <r>
    <x v="666"/>
    <s v="Brian Perez"/>
    <x v="40"/>
    <x v="0"/>
    <x v="431"/>
    <d v="2024-02-22T00:00:00"/>
    <x v="5"/>
    <x v="28"/>
    <n v="15327.29"/>
    <x v="1"/>
    <x v="0"/>
    <n v="10"/>
    <x v="0"/>
    <x v="5"/>
    <n v="2024"/>
  </r>
  <r>
    <x v="667"/>
    <s v="Kenneth Wilson"/>
    <x v="44"/>
    <x v="0"/>
    <x v="18"/>
    <d v="2024-12-30T00:00:00"/>
    <x v="2"/>
    <x v="10"/>
    <n v="6289.07"/>
    <x v="6"/>
    <x v="1"/>
    <n v="7"/>
    <x v="3"/>
    <x v="12"/>
    <n v="2024"/>
  </r>
  <r>
    <x v="668"/>
    <s v="Michelle Anderson"/>
    <x v="61"/>
    <x v="1"/>
    <x v="361"/>
    <d v="2025-01-07T00:00:00"/>
    <x v="5"/>
    <x v="35"/>
    <n v="4517.8599999999997"/>
    <x v="1"/>
    <x v="1"/>
    <n v="3"/>
    <x v="3"/>
    <x v="17"/>
    <n v="2025"/>
  </r>
  <r>
    <x v="669"/>
    <s v="Kimberly Clark"/>
    <x v="84"/>
    <x v="1"/>
    <x v="432"/>
    <d v="2024-07-22T00:00:00"/>
    <x v="3"/>
    <x v="23"/>
    <n v="3226.45"/>
    <x v="3"/>
    <x v="0"/>
    <n v="2"/>
    <x v="4"/>
    <x v="0"/>
    <n v="2024"/>
  </r>
  <r>
    <x v="670"/>
    <s v="Elizabeth Harris"/>
    <x v="59"/>
    <x v="1"/>
    <x v="433"/>
    <d v="2024-03-20T00:00:00"/>
    <x v="3"/>
    <x v="37"/>
    <n v="1704.46"/>
    <x v="0"/>
    <x v="1"/>
    <n v="2"/>
    <x v="4"/>
    <x v="15"/>
    <n v="2024"/>
  </r>
  <r>
    <x v="671"/>
    <s v="Robert Clark"/>
    <x v="55"/>
    <x v="0"/>
    <x v="434"/>
    <d v="2025-07-18T00:00:00"/>
    <x v="2"/>
    <x v="16"/>
    <n v="921.05"/>
    <x v="5"/>
    <x v="2"/>
    <n v="1"/>
    <x v="0"/>
    <x v="22"/>
    <n v="2025"/>
  </r>
  <r>
    <x v="672"/>
    <s v="Emily Rodriguez"/>
    <x v="58"/>
    <x v="1"/>
    <x v="435"/>
    <d v="2024-04-29T00:00:00"/>
    <x v="2"/>
    <x v="21"/>
    <n v="3751.44"/>
    <x v="1"/>
    <x v="0"/>
    <n v="7"/>
    <x v="1"/>
    <x v="2"/>
    <n v="2024"/>
  </r>
  <r>
    <x v="673"/>
    <s v="James Lewis"/>
    <x v="32"/>
    <x v="0"/>
    <x v="434"/>
    <d v="2025-07-21T00:00:00"/>
    <x v="2"/>
    <x v="5"/>
    <n v="5182.1499999999996"/>
    <x v="5"/>
    <x v="2"/>
    <n v="4"/>
    <x v="1"/>
    <x v="22"/>
    <n v="2025"/>
  </r>
  <r>
    <x v="674"/>
    <s v="Richard Williams"/>
    <x v="0"/>
    <x v="0"/>
    <x v="436"/>
    <d v="2025-11-10T00:00:00"/>
    <x v="0"/>
    <x v="0"/>
    <n v="13365.24"/>
    <x v="5"/>
    <x v="2"/>
    <n v="6"/>
    <x v="0"/>
    <x v="7"/>
    <n v="2025"/>
  </r>
  <r>
    <x v="675"/>
    <s v="Carol Clark"/>
    <x v="66"/>
    <x v="1"/>
    <x v="412"/>
    <d v="2025-11-06T00:00:00"/>
    <x v="4"/>
    <x v="18"/>
    <n v="14351.59"/>
    <x v="4"/>
    <x v="0"/>
    <n v="11"/>
    <x v="1"/>
    <x v="14"/>
    <n v="2025"/>
  </r>
  <r>
    <x v="676"/>
    <s v="Christopher Thompson"/>
    <x v="59"/>
    <x v="0"/>
    <x v="437"/>
    <d v="2025-06-07T00:00:00"/>
    <x v="3"/>
    <x v="23"/>
    <n v="1340.39"/>
    <x v="1"/>
    <x v="2"/>
    <n v="1"/>
    <x v="4"/>
    <x v="19"/>
    <n v="2025"/>
  </r>
  <r>
    <x v="677"/>
    <s v="Christopher Garcia"/>
    <x v="28"/>
    <x v="0"/>
    <x v="438"/>
    <d v="2025-09-02T00:00:00"/>
    <x v="2"/>
    <x v="33"/>
    <n v="2477.89"/>
    <x v="1"/>
    <x v="1"/>
    <n v="2"/>
    <x v="0"/>
    <x v="6"/>
    <n v="2025"/>
  </r>
  <r>
    <x v="678"/>
    <s v="Elizabeth Hernandez"/>
    <x v="50"/>
    <x v="1"/>
    <x v="374"/>
    <d v="2025-11-22T00:00:00"/>
    <x v="3"/>
    <x v="25"/>
    <n v="1871.78"/>
    <x v="1"/>
    <x v="1"/>
    <n v="2"/>
    <x v="4"/>
    <x v="7"/>
    <n v="2025"/>
  </r>
  <r>
    <x v="679"/>
    <s v="Elizabeth Ramirez"/>
    <x v="19"/>
    <x v="1"/>
    <x v="368"/>
    <d v="2024-07-24T00:00:00"/>
    <x v="1"/>
    <x v="31"/>
    <n v="3205.01"/>
    <x v="5"/>
    <x v="0"/>
    <n v="2"/>
    <x v="3"/>
    <x v="0"/>
    <n v="2024"/>
  </r>
  <r>
    <x v="680"/>
    <s v="Ashley Clark"/>
    <x v="24"/>
    <x v="1"/>
    <x v="439"/>
    <d v="2025-03-11T00:00:00"/>
    <x v="2"/>
    <x v="8"/>
    <n v="1148.98"/>
    <x v="4"/>
    <x v="2"/>
    <n v="1"/>
    <x v="0"/>
    <x v="1"/>
    <n v="2025"/>
  </r>
  <r>
    <x v="681"/>
    <s v="Nancy Thomas"/>
    <x v="50"/>
    <x v="1"/>
    <x v="20"/>
    <d v="2025-10-24T00:00:00"/>
    <x v="3"/>
    <x v="25"/>
    <n v="2502.7199999999998"/>
    <x v="1"/>
    <x v="0"/>
    <n v="2"/>
    <x v="4"/>
    <x v="14"/>
    <n v="2025"/>
  </r>
  <r>
    <x v="682"/>
    <s v="Joseph Davis"/>
    <x v="54"/>
    <x v="0"/>
    <x v="440"/>
    <d v="2025-01-05T00:00:00"/>
    <x v="4"/>
    <x v="18"/>
    <n v="23367.19"/>
    <x v="1"/>
    <x v="2"/>
    <n v="10"/>
    <x v="1"/>
    <x v="12"/>
    <n v="2024"/>
  </r>
  <r>
    <x v="683"/>
    <s v="Joseph White"/>
    <x v="36"/>
    <x v="0"/>
    <x v="441"/>
    <d v="2025-09-29T00:00:00"/>
    <x v="4"/>
    <x v="14"/>
    <n v="14220.87"/>
    <x v="1"/>
    <x v="0"/>
    <n v="12"/>
    <x v="0"/>
    <x v="20"/>
    <n v="2025"/>
  </r>
  <r>
    <x v="684"/>
    <s v="Daniel Jones"/>
    <x v="9"/>
    <x v="0"/>
    <x v="169"/>
    <d v="2025-03-25T00:00:00"/>
    <x v="3"/>
    <x v="23"/>
    <n v="2954.11"/>
    <x v="1"/>
    <x v="0"/>
    <n v="3"/>
    <x v="4"/>
    <x v="1"/>
    <n v="2025"/>
  </r>
  <r>
    <x v="685"/>
    <s v="Donna Lee"/>
    <x v="75"/>
    <x v="1"/>
    <x v="442"/>
    <d v="2025-11-24T00:00:00"/>
    <x v="3"/>
    <x v="25"/>
    <n v="609.66"/>
    <x v="3"/>
    <x v="2"/>
    <n v="1"/>
    <x v="4"/>
    <x v="7"/>
    <n v="2025"/>
  </r>
  <r>
    <x v="686"/>
    <s v="Anthony Thompson"/>
    <x v="8"/>
    <x v="0"/>
    <x v="10"/>
    <d v="2025-11-10T00:00:00"/>
    <x v="4"/>
    <x v="26"/>
    <n v="8093.46"/>
    <x v="1"/>
    <x v="0"/>
    <n v="4"/>
    <x v="0"/>
    <x v="7"/>
    <n v="2025"/>
  </r>
  <r>
    <x v="687"/>
    <s v="Paul Jackson"/>
    <x v="16"/>
    <x v="0"/>
    <x v="261"/>
    <d v="2025-03-31T00:00:00"/>
    <x v="1"/>
    <x v="36"/>
    <n v="2072.19"/>
    <x v="0"/>
    <x v="2"/>
    <n v="1"/>
    <x v="1"/>
    <x v="1"/>
    <n v="2025"/>
  </r>
  <r>
    <x v="688"/>
    <s v="Ashley Garcia"/>
    <x v="7"/>
    <x v="1"/>
    <x v="14"/>
    <d v="2025-12-14T00:00:00"/>
    <x v="1"/>
    <x v="15"/>
    <n v="1895.35"/>
    <x v="4"/>
    <x v="1"/>
    <n v="2"/>
    <x v="2"/>
    <x v="9"/>
    <n v="2025"/>
  </r>
  <r>
    <x v="689"/>
    <s v="Thomas Lee"/>
    <x v="29"/>
    <x v="0"/>
    <x v="206"/>
    <d v="2025-12-05T00:00:00"/>
    <x v="2"/>
    <x v="5"/>
    <n v="1195.19"/>
    <x v="6"/>
    <x v="0"/>
    <n v="1"/>
    <x v="2"/>
    <x v="9"/>
    <n v="2025"/>
  </r>
  <r>
    <x v="690"/>
    <s v="David Martinez"/>
    <x v="8"/>
    <x v="0"/>
    <x v="443"/>
    <d v="2025-10-26T00:00:00"/>
    <x v="1"/>
    <x v="7"/>
    <n v="6880.53"/>
    <x v="3"/>
    <x v="1"/>
    <n v="3"/>
    <x v="0"/>
    <x v="14"/>
    <n v="2025"/>
  </r>
  <r>
    <x v="691"/>
    <s v="Mary Johnson"/>
    <x v="68"/>
    <x v="1"/>
    <x v="55"/>
    <d v="2025-05-10T00:00:00"/>
    <x v="3"/>
    <x v="9"/>
    <n v="8731.85"/>
    <x v="6"/>
    <x v="1"/>
    <n v="5"/>
    <x v="4"/>
    <x v="13"/>
    <n v="2025"/>
  </r>
  <r>
    <x v="692"/>
    <s v="Betty Ramirez"/>
    <x v="48"/>
    <x v="1"/>
    <x v="444"/>
    <d v="2025-01-22T00:00:00"/>
    <x v="5"/>
    <x v="34"/>
    <n v="10575.02"/>
    <x v="5"/>
    <x v="1"/>
    <n v="6"/>
    <x v="1"/>
    <x v="17"/>
    <n v="2025"/>
  </r>
  <r>
    <x v="693"/>
    <s v="Carol Anderson"/>
    <x v="6"/>
    <x v="1"/>
    <x v="445"/>
    <d v="2024-12-22T00:00:00"/>
    <x v="2"/>
    <x v="16"/>
    <n v="1975.02"/>
    <x v="3"/>
    <x v="2"/>
    <n v="3"/>
    <x v="3"/>
    <x v="12"/>
    <n v="2024"/>
  </r>
  <r>
    <x v="694"/>
    <s v="Kenneth Rodriguez"/>
    <x v="44"/>
    <x v="0"/>
    <x v="276"/>
    <d v="2024-04-24T00:00:00"/>
    <x v="4"/>
    <x v="27"/>
    <n v="14406.87"/>
    <x v="6"/>
    <x v="1"/>
    <n v="8"/>
    <x v="3"/>
    <x v="2"/>
    <n v="2024"/>
  </r>
  <r>
    <x v="695"/>
    <s v="Karen Thomas"/>
    <x v="25"/>
    <x v="1"/>
    <x v="103"/>
    <d v="2025-09-17T00:00:00"/>
    <x v="0"/>
    <x v="29"/>
    <n v="10285.16"/>
    <x v="1"/>
    <x v="2"/>
    <n v="5"/>
    <x v="1"/>
    <x v="20"/>
    <n v="2025"/>
  </r>
  <r>
    <x v="696"/>
    <s v="Matthew Lewis"/>
    <x v="31"/>
    <x v="0"/>
    <x v="428"/>
    <d v="2024-04-07T00:00:00"/>
    <x v="3"/>
    <x v="9"/>
    <n v="730.74"/>
    <x v="2"/>
    <x v="2"/>
    <n v="1"/>
    <x v="4"/>
    <x v="2"/>
    <n v="2024"/>
  </r>
  <r>
    <x v="697"/>
    <s v="Anthony Taylor"/>
    <x v="81"/>
    <x v="0"/>
    <x v="270"/>
    <d v="2025-10-13T00:00:00"/>
    <x v="4"/>
    <x v="27"/>
    <n v="12841.02"/>
    <x v="5"/>
    <x v="0"/>
    <n v="6"/>
    <x v="2"/>
    <x v="14"/>
    <n v="2025"/>
  </r>
  <r>
    <x v="698"/>
    <s v="Michael Young"/>
    <x v="48"/>
    <x v="0"/>
    <x v="446"/>
    <d v="2024-03-17T00:00:00"/>
    <x v="5"/>
    <x v="35"/>
    <n v="3969.91"/>
    <x v="3"/>
    <x v="0"/>
    <n v="3"/>
    <x v="1"/>
    <x v="15"/>
    <n v="2024"/>
  </r>
  <r>
    <x v="699"/>
    <s v="Joshua Brown"/>
    <x v="44"/>
    <x v="0"/>
    <x v="363"/>
    <d v="2025-09-13T00:00:00"/>
    <x v="2"/>
    <x v="4"/>
    <n v="3558.48"/>
    <x v="3"/>
    <x v="1"/>
    <n v="3"/>
    <x v="3"/>
    <x v="20"/>
    <n v="2025"/>
  </r>
  <r>
    <x v="700"/>
    <s v="Richard Johnson"/>
    <x v="17"/>
    <x v="0"/>
    <x v="135"/>
    <d v="2024-12-23T00:00:00"/>
    <x v="1"/>
    <x v="3"/>
    <n v="2492.36"/>
    <x v="3"/>
    <x v="2"/>
    <n v="2"/>
    <x v="3"/>
    <x v="12"/>
    <n v="2024"/>
  </r>
  <r>
    <x v="701"/>
    <s v="Richard Garcia"/>
    <x v="40"/>
    <x v="0"/>
    <x v="65"/>
    <d v="2025-04-08T00:00:00"/>
    <x v="2"/>
    <x v="33"/>
    <n v="2931.95"/>
    <x v="6"/>
    <x v="0"/>
    <n v="3"/>
    <x v="0"/>
    <x v="18"/>
    <n v="2025"/>
  </r>
  <r>
    <x v="702"/>
    <s v="Nancy Brown"/>
    <x v="53"/>
    <x v="1"/>
    <x v="224"/>
    <d v="2024-12-10T00:00:00"/>
    <x v="1"/>
    <x v="31"/>
    <n v="3264.79"/>
    <x v="5"/>
    <x v="0"/>
    <n v="2"/>
    <x v="3"/>
    <x v="12"/>
    <n v="2024"/>
  </r>
  <r>
    <x v="703"/>
    <s v="Thomas Wilson"/>
    <x v="4"/>
    <x v="0"/>
    <x v="242"/>
    <d v="2026-01-01T00:00:00"/>
    <x v="2"/>
    <x v="16"/>
    <n v="5976.06"/>
    <x v="5"/>
    <x v="1"/>
    <n v="4"/>
    <x v="1"/>
    <x v="9"/>
    <n v="2025"/>
  </r>
  <r>
    <x v="704"/>
    <s v="Donna Ramirez"/>
    <x v="10"/>
    <x v="1"/>
    <x v="447"/>
    <d v="2025-03-27T00:00:00"/>
    <x v="2"/>
    <x v="4"/>
    <n v="1133.0999999999999"/>
    <x v="5"/>
    <x v="1"/>
    <n v="1"/>
    <x v="1"/>
    <x v="1"/>
    <n v="2025"/>
  </r>
  <r>
    <x v="705"/>
    <s v="Anthony Moore"/>
    <x v="10"/>
    <x v="0"/>
    <x v="448"/>
    <d v="2025-08-30T00:00:00"/>
    <x v="1"/>
    <x v="31"/>
    <n v="4676.38"/>
    <x v="3"/>
    <x v="0"/>
    <n v="2"/>
    <x v="1"/>
    <x v="6"/>
    <n v="2025"/>
  </r>
  <r>
    <x v="706"/>
    <s v="Anthony Jackson"/>
    <x v="67"/>
    <x v="0"/>
    <x v="449"/>
    <d v="2025-01-09T00:00:00"/>
    <x v="1"/>
    <x v="31"/>
    <n v="2041.86"/>
    <x v="3"/>
    <x v="0"/>
    <n v="2"/>
    <x v="1"/>
    <x v="17"/>
    <n v="2025"/>
  </r>
  <r>
    <x v="707"/>
    <s v="Lisa Lee"/>
    <x v="11"/>
    <x v="1"/>
    <x v="368"/>
    <d v="2024-07-28T00:00:00"/>
    <x v="0"/>
    <x v="29"/>
    <n v="11703.16"/>
    <x v="3"/>
    <x v="0"/>
    <n v="6"/>
    <x v="3"/>
    <x v="0"/>
    <n v="2024"/>
  </r>
  <r>
    <x v="708"/>
    <s v="Donna Jones"/>
    <x v="50"/>
    <x v="1"/>
    <x v="60"/>
    <d v="2025-10-13T00:00:00"/>
    <x v="3"/>
    <x v="25"/>
    <n v="1336.01"/>
    <x v="1"/>
    <x v="1"/>
    <n v="1"/>
    <x v="4"/>
    <x v="14"/>
    <n v="2025"/>
  </r>
  <r>
    <x v="709"/>
    <s v="Thomas Smith"/>
    <x v="16"/>
    <x v="0"/>
    <x v="392"/>
    <d v="2025-05-08T00:00:00"/>
    <x v="0"/>
    <x v="0"/>
    <n v="21413.919999999998"/>
    <x v="1"/>
    <x v="0"/>
    <n v="8"/>
    <x v="1"/>
    <x v="18"/>
    <n v="2025"/>
  </r>
  <r>
    <x v="710"/>
    <s v="Nancy Davis"/>
    <x v="70"/>
    <x v="1"/>
    <x v="400"/>
    <d v="2024-12-30T00:00:00"/>
    <x v="1"/>
    <x v="32"/>
    <n v="4020.17"/>
    <x v="1"/>
    <x v="2"/>
    <n v="2"/>
    <x v="0"/>
    <x v="12"/>
    <n v="2024"/>
  </r>
  <r>
    <x v="711"/>
    <s v="Karen Lee"/>
    <x v="21"/>
    <x v="1"/>
    <x v="126"/>
    <d v="2024-07-04T00:00:00"/>
    <x v="4"/>
    <x v="14"/>
    <n v="28053.05"/>
    <x v="1"/>
    <x v="0"/>
    <n v="12"/>
    <x v="1"/>
    <x v="16"/>
    <n v="2024"/>
  </r>
  <r>
    <x v="712"/>
    <s v="Michelle Harris"/>
    <x v="51"/>
    <x v="1"/>
    <x v="450"/>
    <d v="2024-10-04T00:00:00"/>
    <x v="5"/>
    <x v="35"/>
    <n v="23948.97"/>
    <x v="6"/>
    <x v="0"/>
    <n v="11"/>
    <x v="2"/>
    <x v="21"/>
    <n v="2024"/>
  </r>
  <r>
    <x v="713"/>
    <s v="David Young"/>
    <x v="62"/>
    <x v="0"/>
    <x v="402"/>
    <d v="2025-04-03T00:00:00"/>
    <x v="0"/>
    <x v="19"/>
    <n v="23623.51"/>
    <x v="3"/>
    <x v="1"/>
    <n v="9"/>
    <x v="1"/>
    <x v="1"/>
    <n v="2025"/>
  </r>
  <r>
    <x v="714"/>
    <s v="James Ramirez"/>
    <x v="51"/>
    <x v="0"/>
    <x v="410"/>
    <d v="2025-08-31T00:00:00"/>
    <x v="5"/>
    <x v="34"/>
    <n v="10445.299999999999"/>
    <x v="0"/>
    <x v="2"/>
    <n v="6"/>
    <x v="2"/>
    <x v="6"/>
    <n v="2025"/>
  </r>
  <r>
    <x v="715"/>
    <s v="Mark White"/>
    <x v="38"/>
    <x v="0"/>
    <x v="164"/>
    <d v="2025-08-29T00:00:00"/>
    <x v="4"/>
    <x v="13"/>
    <n v="19007.18"/>
    <x v="5"/>
    <x v="0"/>
    <n v="7"/>
    <x v="0"/>
    <x v="6"/>
    <n v="2025"/>
  </r>
  <r>
    <x v="716"/>
    <s v="David Jones"/>
    <x v="42"/>
    <x v="0"/>
    <x v="451"/>
    <d v="2025-05-16T00:00:00"/>
    <x v="1"/>
    <x v="2"/>
    <n v="2458.7600000000002"/>
    <x v="3"/>
    <x v="0"/>
    <n v="3"/>
    <x v="3"/>
    <x v="13"/>
    <n v="2025"/>
  </r>
  <r>
    <x v="717"/>
    <s v="Brian Moore"/>
    <x v="29"/>
    <x v="0"/>
    <x v="162"/>
    <d v="2025-01-29T00:00:00"/>
    <x v="4"/>
    <x v="27"/>
    <n v="14632.49"/>
    <x v="0"/>
    <x v="2"/>
    <n v="8"/>
    <x v="2"/>
    <x v="17"/>
    <n v="2025"/>
  </r>
  <r>
    <x v="718"/>
    <s v="Susan Perez"/>
    <x v="51"/>
    <x v="1"/>
    <x v="452"/>
    <d v="2025-03-29T00:00:00"/>
    <x v="2"/>
    <x v="10"/>
    <n v="2891.81"/>
    <x v="1"/>
    <x v="0"/>
    <n v="5"/>
    <x v="2"/>
    <x v="1"/>
    <n v="2025"/>
  </r>
  <r>
    <x v="719"/>
    <s v="Linda Davis"/>
    <x v="36"/>
    <x v="1"/>
    <x v="453"/>
    <d v="2024-09-19T00:00:00"/>
    <x v="0"/>
    <x v="20"/>
    <n v="8029.13"/>
    <x v="1"/>
    <x v="1"/>
    <n v="3"/>
    <x v="0"/>
    <x v="21"/>
    <n v="2024"/>
  </r>
  <r>
    <x v="720"/>
    <s v="Matthew Wilson"/>
    <x v="61"/>
    <x v="0"/>
    <x v="259"/>
    <d v="2025-11-13T00:00:00"/>
    <x v="2"/>
    <x v="5"/>
    <n v="858.67"/>
    <x v="1"/>
    <x v="0"/>
    <n v="1"/>
    <x v="3"/>
    <x v="7"/>
    <n v="2025"/>
  </r>
  <r>
    <x v="721"/>
    <s v="Steven Perez"/>
    <x v="43"/>
    <x v="0"/>
    <x v="190"/>
    <d v="2025-11-19T00:00:00"/>
    <x v="3"/>
    <x v="37"/>
    <n v="3460.07"/>
    <x v="6"/>
    <x v="1"/>
    <n v="2"/>
    <x v="4"/>
    <x v="7"/>
    <n v="2025"/>
  </r>
  <r>
    <x v="722"/>
    <s v="Brian Harris"/>
    <x v="47"/>
    <x v="0"/>
    <x v="454"/>
    <d v="2025-08-17T00:00:00"/>
    <x v="2"/>
    <x v="16"/>
    <n v="7776.12"/>
    <x v="0"/>
    <x v="1"/>
    <n v="7"/>
    <x v="3"/>
    <x v="6"/>
    <n v="2025"/>
  </r>
  <r>
    <x v="723"/>
    <s v="Brian Lewis"/>
    <x v="26"/>
    <x v="0"/>
    <x v="364"/>
    <d v="2024-04-30T00:00:00"/>
    <x v="1"/>
    <x v="3"/>
    <n v="4547.8500000000004"/>
    <x v="5"/>
    <x v="2"/>
    <n v="2"/>
    <x v="1"/>
    <x v="2"/>
    <n v="2024"/>
  </r>
  <r>
    <x v="724"/>
    <s v="Emily White"/>
    <x v="54"/>
    <x v="1"/>
    <x v="241"/>
    <d v="2024-04-18T00:00:00"/>
    <x v="0"/>
    <x v="6"/>
    <n v="11509.91"/>
    <x v="2"/>
    <x v="1"/>
    <n v="5"/>
    <x v="1"/>
    <x v="2"/>
    <n v="2024"/>
  </r>
  <r>
    <x v="725"/>
    <s v="Michelle Thomas"/>
    <x v="78"/>
    <x v="1"/>
    <x v="407"/>
    <d v="2024-06-13T00:00:00"/>
    <x v="1"/>
    <x v="32"/>
    <n v="2402.42"/>
    <x v="6"/>
    <x v="0"/>
    <n v="3"/>
    <x v="2"/>
    <x v="16"/>
    <n v="2024"/>
  </r>
  <r>
    <x v="726"/>
    <s v="Robert Garcia"/>
    <x v="56"/>
    <x v="0"/>
    <x v="167"/>
    <d v="2024-03-05T00:00:00"/>
    <x v="3"/>
    <x v="9"/>
    <n v="4108.03"/>
    <x v="1"/>
    <x v="0"/>
    <n v="4"/>
    <x v="4"/>
    <x v="15"/>
    <n v="2024"/>
  </r>
  <r>
    <x v="727"/>
    <s v="Lisa Miller"/>
    <x v="47"/>
    <x v="1"/>
    <x v="455"/>
    <d v="2025-01-23T00:00:00"/>
    <x v="2"/>
    <x v="16"/>
    <n v="3552.94"/>
    <x v="1"/>
    <x v="1"/>
    <n v="6"/>
    <x v="3"/>
    <x v="17"/>
    <n v="2025"/>
  </r>
  <r>
    <x v="728"/>
    <s v="Ashley Martinez"/>
    <x v="10"/>
    <x v="1"/>
    <x v="456"/>
    <d v="2024-08-20T00:00:00"/>
    <x v="1"/>
    <x v="7"/>
    <n v="2872.72"/>
    <x v="4"/>
    <x v="1"/>
    <n v="3"/>
    <x v="1"/>
    <x v="8"/>
    <n v="2024"/>
  </r>
  <r>
    <x v="729"/>
    <s v="James Perez"/>
    <x v="27"/>
    <x v="0"/>
    <x v="53"/>
    <d v="2024-11-20T00:00:00"/>
    <x v="4"/>
    <x v="11"/>
    <n v="8897.51"/>
    <x v="1"/>
    <x v="0"/>
    <n v="8"/>
    <x v="3"/>
    <x v="4"/>
    <n v="2024"/>
  </r>
  <r>
    <x v="730"/>
    <s v="Carol Robinson"/>
    <x v="74"/>
    <x v="1"/>
    <x v="391"/>
    <d v="2024-04-28T00:00:00"/>
    <x v="3"/>
    <x v="24"/>
    <n v="3469.08"/>
    <x v="1"/>
    <x v="0"/>
    <n v="3"/>
    <x v="4"/>
    <x v="2"/>
    <n v="2024"/>
  </r>
  <r>
    <x v="731"/>
    <s v="Andrew Clark"/>
    <x v="44"/>
    <x v="0"/>
    <x v="161"/>
    <d v="2024-01-15T00:00:00"/>
    <x v="0"/>
    <x v="1"/>
    <n v="8778.52"/>
    <x v="1"/>
    <x v="1"/>
    <n v="6"/>
    <x v="3"/>
    <x v="23"/>
    <n v="2024"/>
  </r>
  <r>
    <x v="732"/>
    <s v="Mark Brown"/>
    <x v="21"/>
    <x v="0"/>
    <x v="457"/>
    <d v="2024-06-20T00:00:00"/>
    <x v="4"/>
    <x v="26"/>
    <n v="38501.9"/>
    <x v="1"/>
    <x v="0"/>
    <n v="14"/>
    <x v="1"/>
    <x v="16"/>
    <n v="2024"/>
  </r>
  <r>
    <x v="733"/>
    <s v="Andrew Martinez"/>
    <x v="42"/>
    <x v="0"/>
    <x v="458"/>
    <d v="2025-12-27T00:00:00"/>
    <x v="2"/>
    <x v="33"/>
    <n v="1693.89"/>
    <x v="1"/>
    <x v="0"/>
    <n v="2"/>
    <x v="3"/>
    <x v="9"/>
    <n v="2025"/>
  </r>
  <r>
    <x v="734"/>
    <s v="William Walker"/>
    <x v="3"/>
    <x v="0"/>
    <x v="459"/>
    <d v="2024-05-29T00:00:00"/>
    <x v="1"/>
    <x v="15"/>
    <n v="1250.03"/>
    <x v="1"/>
    <x v="0"/>
    <n v="1"/>
    <x v="2"/>
    <x v="11"/>
    <n v="2024"/>
  </r>
  <r>
    <x v="735"/>
    <s v="Dorothy Ramirez"/>
    <x v="52"/>
    <x v="1"/>
    <x v="460"/>
    <d v="2024-10-13T00:00:00"/>
    <x v="1"/>
    <x v="32"/>
    <n v="2286.5500000000002"/>
    <x v="3"/>
    <x v="2"/>
    <n v="1"/>
    <x v="1"/>
    <x v="3"/>
    <n v="2024"/>
  </r>
  <r>
    <x v="736"/>
    <s v="Christopher White"/>
    <x v="14"/>
    <x v="0"/>
    <x v="349"/>
    <d v="2024-08-01T00:00:00"/>
    <x v="1"/>
    <x v="32"/>
    <n v="1516.2"/>
    <x v="1"/>
    <x v="0"/>
    <n v="1"/>
    <x v="1"/>
    <x v="0"/>
    <n v="2024"/>
  </r>
  <r>
    <x v="737"/>
    <s v="Sarah Garcia"/>
    <x v="25"/>
    <x v="1"/>
    <x v="76"/>
    <d v="2025-01-12T00:00:00"/>
    <x v="0"/>
    <x v="0"/>
    <n v="24161.06"/>
    <x v="6"/>
    <x v="0"/>
    <n v="10"/>
    <x v="1"/>
    <x v="17"/>
    <n v="2025"/>
  </r>
  <r>
    <x v="738"/>
    <s v="Ashley Thompson"/>
    <x v="52"/>
    <x v="1"/>
    <x v="204"/>
    <d v="2024-12-27T00:00:00"/>
    <x v="1"/>
    <x v="7"/>
    <n v="5162.18"/>
    <x v="3"/>
    <x v="2"/>
    <n v="3"/>
    <x v="1"/>
    <x v="12"/>
    <n v="2024"/>
  </r>
  <r>
    <x v="739"/>
    <s v="Thomas Young"/>
    <x v="69"/>
    <x v="0"/>
    <x v="389"/>
    <d v="2025-03-21T00:00:00"/>
    <x v="4"/>
    <x v="26"/>
    <n v="22371.56"/>
    <x v="1"/>
    <x v="0"/>
    <n v="13"/>
    <x v="2"/>
    <x v="1"/>
    <n v="2025"/>
  </r>
  <r>
    <x v="740"/>
    <s v="Elizabeth Jackson"/>
    <x v="2"/>
    <x v="1"/>
    <x v="283"/>
    <d v="2024-10-28T00:00:00"/>
    <x v="1"/>
    <x v="15"/>
    <n v="1865.06"/>
    <x v="1"/>
    <x v="0"/>
    <n v="1"/>
    <x v="1"/>
    <x v="3"/>
    <n v="2024"/>
  </r>
  <r>
    <x v="741"/>
    <s v="Joseph Martinez"/>
    <x v="48"/>
    <x v="0"/>
    <x v="450"/>
    <d v="2024-09-26T00:00:00"/>
    <x v="0"/>
    <x v="29"/>
    <n v="7640.58"/>
    <x v="1"/>
    <x v="2"/>
    <n v="3"/>
    <x v="1"/>
    <x v="21"/>
    <n v="2024"/>
  </r>
  <r>
    <x v="742"/>
    <s v="Karen Williams"/>
    <x v="26"/>
    <x v="1"/>
    <x v="461"/>
    <d v="2025-02-02T00:00:00"/>
    <x v="2"/>
    <x v="5"/>
    <n v="2892.4"/>
    <x v="4"/>
    <x v="0"/>
    <n v="2"/>
    <x v="1"/>
    <x v="17"/>
    <n v="2025"/>
  </r>
  <r>
    <x v="743"/>
    <s v="Richard Rodriguez"/>
    <x v="29"/>
    <x v="0"/>
    <x v="204"/>
    <d v="2024-12-31T00:00:00"/>
    <x v="5"/>
    <x v="12"/>
    <n v="9495.5300000000007"/>
    <x v="6"/>
    <x v="1"/>
    <n v="7"/>
    <x v="2"/>
    <x v="12"/>
    <n v="2024"/>
  </r>
  <r>
    <x v="744"/>
    <s v="Ashley Rodriguez"/>
    <x v="3"/>
    <x v="1"/>
    <x v="238"/>
    <d v="2024-09-25T00:00:00"/>
    <x v="1"/>
    <x v="3"/>
    <n v="870.1"/>
    <x v="1"/>
    <x v="0"/>
    <n v="1"/>
    <x v="2"/>
    <x v="21"/>
    <n v="2024"/>
  </r>
  <r>
    <x v="745"/>
    <s v="Sarah Davis"/>
    <x v="52"/>
    <x v="1"/>
    <x v="462"/>
    <d v="2024-01-16T00:00:00"/>
    <x v="2"/>
    <x v="4"/>
    <n v="1437.06"/>
    <x v="5"/>
    <x v="1"/>
    <n v="1"/>
    <x v="1"/>
    <x v="23"/>
    <n v="2024"/>
  </r>
  <r>
    <x v="746"/>
    <s v="Sarah Perez"/>
    <x v="5"/>
    <x v="1"/>
    <x v="249"/>
    <d v="2024-08-20T00:00:00"/>
    <x v="2"/>
    <x v="10"/>
    <n v="2735.83"/>
    <x v="3"/>
    <x v="1"/>
    <n v="5"/>
    <x v="0"/>
    <x v="8"/>
    <n v="2024"/>
  </r>
  <r>
    <x v="747"/>
    <s v="Kenneth Wilson"/>
    <x v="69"/>
    <x v="0"/>
    <x v="463"/>
    <d v="2024-12-03T00:00:00"/>
    <x v="1"/>
    <x v="2"/>
    <n v="1879.03"/>
    <x v="6"/>
    <x v="0"/>
    <n v="1"/>
    <x v="2"/>
    <x v="12"/>
    <n v="2024"/>
  </r>
  <r>
    <x v="748"/>
    <s v="Ashley Martinez"/>
    <x v="73"/>
    <x v="1"/>
    <x v="333"/>
    <d v="2024-07-13T00:00:00"/>
    <x v="3"/>
    <x v="25"/>
    <n v="4685.1499999999996"/>
    <x v="5"/>
    <x v="2"/>
    <n v="4"/>
    <x v="4"/>
    <x v="0"/>
    <n v="2024"/>
  </r>
  <r>
    <x v="749"/>
    <s v="Richard Rodriguez"/>
    <x v="81"/>
    <x v="0"/>
    <x v="464"/>
    <d v="2025-11-28T00:00:00"/>
    <x v="1"/>
    <x v="7"/>
    <n v="4638.3500000000004"/>
    <x v="3"/>
    <x v="2"/>
    <n v="2"/>
    <x v="2"/>
    <x v="7"/>
    <n v="2025"/>
  </r>
  <r>
    <x v="750"/>
    <s v="Betty Thompson"/>
    <x v="17"/>
    <x v="1"/>
    <x v="277"/>
    <d v="2024-06-14T00:00:00"/>
    <x v="1"/>
    <x v="36"/>
    <n v="6181.48"/>
    <x v="3"/>
    <x v="0"/>
    <n v="3"/>
    <x v="3"/>
    <x v="16"/>
    <n v="2024"/>
  </r>
  <r>
    <x v="751"/>
    <s v="Donna Clark"/>
    <x v="21"/>
    <x v="1"/>
    <x v="279"/>
    <d v="2025-12-08T00:00:00"/>
    <x v="5"/>
    <x v="34"/>
    <n v="10893.55"/>
    <x v="1"/>
    <x v="0"/>
    <n v="6"/>
    <x v="1"/>
    <x v="9"/>
    <n v="2025"/>
  </r>
  <r>
    <x v="752"/>
    <s v="Joshua Miller"/>
    <x v="14"/>
    <x v="0"/>
    <x v="127"/>
    <d v="2024-07-12T00:00:00"/>
    <x v="2"/>
    <x v="8"/>
    <n v="5559.19"/>
    <x v="6"/>
    <x v="0"/>
    <n v="4"/>
    <x v="1"/>
    <x v="0"/>
    <n v="2024"/>
  </r>
  <r>
    <x v="753"/>
    <s v="Jennifer Lewis"/>
    <x v="2"/>
    <x v="1"/>
    <x v="465"/>
    <d v="2025-08-04T00:00:00"/>
    <x v="0"/>
    <x v="29"/>
    <n v="12777.22"/>
    <x v="3"/>
    <x v="0"/>
    <n v="6"/>
    <x v="1"/>
    <x v="22"/>
    <n v="2025"/>
  </r>
  <r>
    <x v="754"/>
    <s v="Karen Rodriguez"/>
    <x v="57"/>
    <x v="1"/>
    <x v="170"/>
    <d v="2024-03-12T00:00:00"/>
    <x v="1"/>
    <x v="7"/>
    <n v="824.72"/>
    <x v="1"/>
    <x v="0"/>
    <n v="1"/>
    <x v="2"/>
    <x v="15"/>
    <n v="2024"/>
  </r>
  <r>
    <x v="755"/>
    <s v="Kenneth Davis"/>
    <x v="41"/>
    <x v="0"/>
    <x v="244"/>
    <d v="2025-04-01T00:00:00"/>
    <x v="5"/>
    <x v="30"/>
    <n v="7892.83"/>
    <x v="3"/>
    <x v="0"/>
    <n v="4"/>
    <x v="1"/>
    <x v="1"/>
    <n v="2025"/>
  </r>
  <r>
    <x v="756"/>
    <s v="Sarah Martinez"/>
    <x v="51"/>
    <x v="1"/>
    <x v="422"/>
    <d v="2024-09-04T00:00:00"/>
    <x v="1"/>
    <x v="15"/>
    <n v="4965.79"/>
    <x v="1"/>
    <x v="0"/>
    <n v="2"/>
    <x v="2"/>
    <x v="21"/>
    <n v="2024"/>
  </r>
  <r>
    <x v="757"/>
    <s v="Jennifer Taylor"/>
    <x v="71"/>
    <x v="1"/>
    <x v="23"/>
    <d v="2024-03-21T00:00:00"/>
    <x v="3"/>
    <x v="24"/>
    <n v="1380.95"/>
    <x v="5"/>
    <x v="0"/>
    <n v="2"/>
    <x v="4"/>
    <x v="15"/>
    <n v="2024"/>
  </r>
  <r>
    <x v="758"/>
    <s v="Joshua Hernandez"/>
    <x v="63"/>
    <x v="0"/>
    <x v="258"/>
    <d v="2024-07-12T00:00:00"/>
    <x v="2"/>
    <x v="10"/>
    <n v="783.53"/>
    <x v="4"/>
    <x v="0"/>
    <n v="1"/>
    <x v="3"/>
    <x v="0"/>
    <n v="2024"/>
  </r>
  <r>
    <x v="759"/>
    <s v="Andrew Moore"/>
    <x v="33"/>
    <x v="0"/>
    <x v="197"/>
    <d v="2025-02-15T00:00:00"/>
    <x v="2"/>
    <x v="5"/>
    <n v="644.33000000000004"/>
    <x v="4"/>
    <x v="2"/>
    <n v="1"/>
    <x v="0"/>
    <x v="10"/>
    <n v="2025"/>
  </r>
  <r>
    <x v="760"/>
    <s v="Christopher Lee"/>
    <x v="40"/>
    <x v="0"/>
    <x v="62"/>
    <d v="2025-11-26T00:00:00"/>
    <x v="1"/>
    <x v="2"/>
    <n v="803.78"/>
    <x v="3"/>
    <x v="0"/>
    <n v="1"/>
    <x v="0"/>
    <x v="7"/>
    <n v="2025"/>
  </r>
  <r>
    <x v="761"/>
    <s v="Andrew Robinson"/>
    <x v="29"/>
    <x v="0"/>
    <x v="108"/>
    <d v="2025-09-16T00:00:00"/>
    <x v="2"/>
    <x v="16"/>
    <n v="7286.69"/>
    <x v="1"/>
    <x v="0"/>
    <n v="7"/>
    <x v="2"/>
    <x v="20"/>
    <n v="2025"/>
  </r>
  <r>
    <x v="762"/>
    <s v="Jessica Lee"/>
    <x v="44"/>
    <x v="1"/>
    <x v="466"/>
    <d v="2024-11-04T00:00:00"/>
    <x v="1"/>
    <x v="36"/>
    <n v="6520.03"/>
    <x v="1"/>
    <x v="0"/>
    <n v="3"/>
    <x v="3"/>
    <x v="4"/>
    <n v="2024"/>
  </r>
  <r>
    <x v="763"/>
    <s v="Nancy Clark"/>
    <x v="6"/>
    <x v="1"/>
    <x v="467"/>
    <d v="2025-12-02T00:00:00"/>
    <x v="2"/>
    <x v="5"/>
    <n v="1101.07"/>
    <x v="5"/>
    <x v="1"/>
    <n v="1"/>
    <x v="3"/>
    <x v="9"/>
    <n v="2025"/>
  </r>
  <r>
    <x v="764"/>
    <s v="Karen Ramirez"/>
    <x v="47"/>
    <x v="1"/>
    <x v="134"/>
    <d v="2025-09-14T00:00:00"/>
    <x v="0"/>
    <x v="1"/>
    <n v="15930.98"/>
    <x v="1"/>
    <x v="0"/>
    <n v="10"/>
    <x v="3"/>
    <x v="20"/>
    <n v="2025"/>
  </r>
  <r>
    <x v="765"/>
    <s v="James Johnson"/>
    <x v="44"/>
    <x v="0"/>
    <x v="468"/>
    <d v="2024-09-29T00:00:00"/>
    <x v="2"/>
    <x v="21"/>
    <n v="6394.95"/>
    <x v="6"/>
    <x v="2"/>
    <n v="7"/>
    <x v="3"/>
    <x v="21"/>
    <n v="2024"/>
  </r>
  <r>
    <x v="766"/>
    <s v="David Wilson"/>
    <x v="80"/>
    <x v="0"/>
    <x v="299"/>
    <d v="2024-01-03T00:00:00"/>
    <x v="2"/>
    <x v="8"/>
    <n v="2803.03"/>
    <x v="3"/>
    <x v="0"/>
    <n v="2"/>
    <x v="2"/>
    <x v="23"/>
    <n v="2024"/>
  </r>
  <r>
    <x v="767"/>
    <s v="James Walker"/>
    <x v="63"/>
    <x v="0"/>
    <x v="469"/>
    <d v="2024-01-28T00:00:00"/>
    <x v="5"/>
    <x v="12"/>
    <n v="4689.5200000000004"/>
    <x v="1"/>
    <x v="0"/>
    <n v="3"/>
    <x v="3"/>
    <x v="23"/>
    <n v="2024"/>
  </r>
  <r>
    <x v="768"/>
    <s v="Donna Thompson"/>
    <x v="13"/>
    <x v="1"/>
    <x v="144"/>
    <d v="2024-08-20T00:00:00"/>
    <x v="5"/>
    <x v="35"/>
    <n v="13724.66"/>
    <x v="1"/>
    <x v="0"/>
    <n v="10"/>
    <x v="1"/>
    <x v="8"/>
    <n v="2024"/>
  </r>
  <r>
    <x v="769"/>
    <s v="Matthew Brown"/>
    <x v="76"/>
    <x v="0"/>
    <x v="470"/>
    <d v="2025-02-24T00:00:00"/>
    <x v="0"/>
    <x v="6"/>
    <n v="9130.48"/>
    <x v="0"/>
    <x v="2"/>
    <n v="4"/>
    <x v="1"/>
    <x v="10"/>
    <n v="2025"/>
  </r>
  <r>
    <x v="770"/>
    <s v="Ashley Jones"/>
    <x v="29"/>
    <x v="1"/>
    <x v="98"/>
    <d v="2024-04-21T00:00:00"/>
    <x v="1"/>
    <x v="36"/>
    <n v="2383.8000000000002"/>
    <x v="5"/>
    <x v="0"/>
    <n v="1"/>
    <x v="2"/>
    <x v="2"/>
    <n v="2024"/>
  </r>
  <r>
    <x v="771"/>
    <s v="Betty Rodriguez"/>
    <x v="38"/>
    <x v="1"/>
    <x v="313"/>
    <d v="2024-01-09T00:00:00"/>
    <x v="2"/>
    <x v="21"/>
    <n v="1901.75"/>
    <x v="5"/>
    <x v="1"/>
    <n v="3"/>
    <x v="0"/>
    <x v="23"/>
    <n v="2024"/>
  </r>
  <r>
    <x v="772"/>
    <s v="Matthew Jones"/>
    <x v="55"/>
    <x v="0"/>
    <x v="332"/>
    <d v="2025-06-27T00:00:00"/>
    <x v="1"/>
    <x v="3"/>
    <n v="5558.16"/>
    <x v="0"/>
    <x v="0"/>
    <n v="3"/>
    <x v="0"/>
    <x v="19"/>
    <n v="2025"/>
  </r>
  <r>
    <x v="773"/>
    <s v="Robert Hernandez"/>
    <x v="51"/>
    <x v="0"/>
    <x v="176"/>
    <d v="2025-06-04T00:00:00"/>
    <x v="2"/>
    <x v="16"/>
    <n v="4500.7"/>
    <x v="3"/>
    <x v="0"/>
    <n v="7"/>
    <x v="2"/>
    <x v="13"/>
    <n v="2025"/>
  </r>
  <r>
    <x v="774"/>
    <s v="Paul Rodriguez"/>
    <x v="16"/>
    <x v="0"/>
    <x v="21"/>
    <d v="2025-02-16T00:00:00"/>
    <x v="0"/>
    <x v="6"/>
    <n v="9036.9"/>
    <x v="4"/>
    <x v="1"/>
    <n v="5"/>
    <x v="1"/>
    <x v="10"/>
    <n v="2025"/>
  </r>
  <r>
    <x v="775"/>
    <s v="Michael Wilson"/>
    <x v="46"/>
    <x v="0"/>
    <x v="380"/>
    <d v="2025-06-24T00:00:00"/>
    <x v="2"/>
    <x v="33"/>
    <n v="4404.2299999999996"/>
    <x v="4"/>
    <x v="2"/>
    <n v="5"/>
    <x v="1"/>
    <x v="19"/>
    <n v="2025"/>
  </r>
  <r>
    <x v="776"/>
    <s v="Anthony Miller"/>
    <x v="38"/>
    <x v="0"/>
    <x v="126"/>
    <d v="2024-06-27T00:00:00"/>
    <x v="2"/>
    <x v="21"/>
    <n v="4907.47"/>
    <x v="1"/>
    <x v="0"/>
    <n v="5"/>
    <x v="0"/>
    <x v="16"/>
    <n v="2024"/>
  </r>
  <r>
    <x v="777"/>
    <s v="Brian Davis"/>
    <x v="48"/>
    <x v="0"/>
    <x v="63"/>
    <d v="2025-03-25T00:00:00"/>
    <x v="0"/>
    <x v="0"/>
    <n v="26768.21"/>
    <x v="6"/>
    <x v="2"/>
    <n v="10"/>
    <x v="1"/>
    <x v="1"/>
    <n v="2025"/>
  </r>
  <r>
    <x v="778"/>
    <s v="Kimberly Thompson"/>
    <x v="10"/>
    <x v="1"/>
    <x v="36"/>
    <d v="2025-06-07T00:00:00"/>
    <x v="2"/>
    <x v="8"/>
    <n v="2615.96"/>
    <x v="6"/>
    <x v="0"/>
    <n v="4"/>
    <x v="1"/>
    <x v="19"/>
    <n v="2025"/>
  </r>
  <r>
    <x v="779"/>
    <s v="Mark Harris"/>
    <x v="76"/>
    <x v="0"/>
    <x v="425"/>
    <d v="2025-12-23T00:00:00"/>
    <x v="2"/>
    <x v="33"/>
    <n v="7371.54"/>
    <x v="5"/>
    <x v="2"/>
    <n v="6"/>
    <x v="1"/>
    <x v="9"/>
    <n v="2025"/>
  </r>
  <r>
    <x v="780"/>
    <s v="Elizabeth Lopez"/>
    <x v="76"/>
    <x v="1"/>
    <x v="360"/>
    <d v="2025-01-01T00:00:00"/>
    <x v="1"/>
    <x v="31"/>
    <n v="1984.12"/>
    <x v="5"/>
    <x v="1"/>
    <n v="1"/>
    <x v="1"/>
    <x v="12"/>
    <n v="2024"/>
  </r>
  <r>
    <x v="781"/>
    <s v="Sarah Ramirez"/>
    <x v="18"/>
    <x v="1"/>
    <x v="309"/>
    <d v="2025-04-14T00:00:00"/>
    <x v="5"/>
    <x v="17"/>
    <n v="15265.35"/>
    <x v="6"/>
    <x v="0"/>
    <n v="6"/>
    <x v="3"/>
    <x v="18"/>
    <n v="2025"/>
  </r>
  <r>
    <x v="782"/>
    <s v="Christopher Martin"/>
    <x v="42"/>
    <x v="0"/>
    <x v="192"/>
    <d v="2024-10-20T00:00:00"/>
    <x v="5"/>
    <x v="35"/>
    <n v="24895.77"/>
    <x v="1"/>
    <x v="0"/>
    <n v="11"/>
    <x v="3"/>
    <x v="3"/>
    <n v="2024"/>
  </r>
  <r>
    <x v="783"/>
    <s v="Betty Davis"/>
    <x v="42"/>
    <x v="1"/>
    <x v="253"/>
    <d v="2025-03-31T00:00:00"/>
    <x v="2"/>
    <x v="5"/>
    <n v="2392.67"/>
    <x v="0"/>
    <x v="2"/>
    <n v="4"/>
    <x v="3"/>
    <x v="1"/>
    <n v="2025"/>
  </r>
  <r>
    <x v="784"/>
    <s v="Sarah Jackson"/>
    <x v="20"/>
    <x v="1"/>
    <x v="224"/>
    <d v="2024-12-09T00:00:00"/>
    <x v="2"/>
    <x v="21"/>
    <n v="1000.43"/>
    <x v="3"/>
    <x v="0"/>
    <n v="1"/>
    <x v="2"/>
    <x v="12"/>
    <n v="2024"/>
  </r>
  <r>
    <x v="785"/>
    <s v="David Rodriguez"/>
    <x v="23"/>
    <x v="0"/>
    <x v="471"/>
    <d v="2025-02-25T00:00:00"/>
    <x v="5"/>
    <x v="34"/>
    <n v="10299"/>
    <x v="3"/>
    <x v="0"/>
    <n v="4"/>
    <x v="0"/>
    <x v="10"/>
    <n v="2025"/>
  </r>
  <r>
    <x v="786"/>
    <s v="Kimberly Smith"/>
    <x v="23"/>
    <x v="1"/>
    <x v="192"/>
    <d v="2024-10-19T00:00:00"/>
    <x v="5"/>
    <x v="28"/>
    <n v="25129.38"/>
    <x v="3"/>
    <x v="0"/>
    <n v="10"/>
    <x v="0"/>
    <x v="3"/>
    <n v="2024"/>
  </r>
  <r>
    <x v="787"/>
    <s v="Joshua Jones"/>
    <x v="65"/>
    <x v="0"/>
    <x v="430"/>
    <d v="2024-05-11T00:00:00"/>
    <x v="3"/>
    <x v="22"/>
    <n v="6735.15"/>
    <x v="6"/>
    <x v="2"/>
    <n v="5"/>
    <x v="4"/>
    <x v="11"/>
    <n v="2024"/>
  </r>
  <r>
    <x v="788"/>
    <s v="Carol Lewis"/>
    <x v="1"/>
    <x v="1"/>
    <x v="81"/>
    <d v="2024-09-05T00:00:00"/>
    <x v="0"/>
    <x v="20"/>
    <n v="20130.14"/>
    <x v="5"/>
    <x v="0"/>
    <n v="10"/>
    <x v="0"/>
    <x v="8"/>
    <n v="2024"/>
  </r>
  <r>
    <x v="789"/>
    <s v="Kenneth Robinson"/>
    <x v="68"/>
    <x v="0"/>
    <x v="472"/>
    <d v="2024-02-28T00:00:00"/>
    <x v="3"/>
    <x v="37"/>
    <n v="1138.69"/>
    <x v="1"/>
    <x v="0"/>
    <n v="1"/>
    <x v="4"/>
    <x v="5"/>
    <n v="2024"/>
  </r>
  <r>
    <x v="790"/>
    <s v="Matthew Martin"/>
    <x v="66"/>
    <x v="0"/>
    <x v="221"/>
    <d v="2025-10-02T00:00:00"/>
    <x v="4"/>
    <x v="18"/>
    <n v="17304.05"/>
    <x v="1"/>
    <x v="0"/>
    <n v="13"/>
    <x v="1"/>
    <x v="20"/>
    <n v="2025"/>
  </r>
  <r>
    <x v="791"/>
    <s v="Emily Garcia"/>
    <x v="21"/>
    <x v="1"/>
    <x v="362"/>
    <d v="2025-01-13T00:00:00"/>
    <x v="2"/>
    <x v="33"/>
    <n v="2563.36"/>
    <x v="5"/>
    <x v="0"/>
    <n v="4"/>
    <x v="1"/>
    <x v="17"/>
    <n v="2025"/>
  </r>
  <r>
    <x v="792"/>
    <s v="Carol Ramirez"/>
    <x v="32"/>
    <x v="1"/>
    <x v="473"/>
    <d v="2025-08-23T00:00:00"/>
    <x v="2"/>
    <x v="4"/>
    <n v="5938.64"/>
    <x v="1"/>
    <x v="0"/>
    <n v="6"/>
    <x v="1"/>
    <x v="6"/>
    <n v="2025"/>
  </r>
  <r>
    <x v="793"/>
    <s v="Robert Lee"/>
    <x v="23"/>
    <x v="0"/>
    <x v="239"/>
    <d v="2025-04-19T00:00:00"/>
    <x v="4"/>
    <x v="13"/>
    <n v="6946.39"/>
    <x v="3"/>
    <x v="0"/>
    <n v="3"/>
    <x v="0"/>
    <x v="18"/>
    <n v="2025"/>
  </r>
  <r>
    <x v="794"/>
    <s v="Dorothy Thomas"/>
    <x v="29"/>
    <x v="1"/>
    <x v="414"/>
    <d v="2025-06-15T00:00:00"/>
    <x v="5"/>
    <x v="30"/>
    <n v="15560.38"/>
    <x v="1"/>
    <x v="0"/>
    <n v="11"/>
    <x v="2"/>
    <x v="19"/>
    <n v="2025"/>
  </r>
  <r>
    <x v="795"/>
    <s v="Joshua Thomas"/>
    <x v="31"/>
    <x v="0"/>
    <x v="261"/>
    <d v="2025-04-03T00:00:00"/>
    <x v="3"/>
    <x v="22"/>
    <n v="6667.93"/>
    <x v="3"/>
    <x v="1"/>
    <n v="4"/>
    <x v="4"/>
    <x v="1"/>
    <n v="2025"/>
  </r>
  <r>
    <x v="796"/>
    <s v="Thomas Smith"/>
    <x v="82"/>
    <x v="0"/>
    <x v="297"/>
    <d v="2024-01-16T00:00:00"/>
    <x v="1"/>
    <x v="31"/>
    <n v="3800.12"/>
    <x v="5"/>
    <x v="0"/>
    <n v="2"/>
    <x v="2"/>
    <x v="23"/>
    <n v="2024"/>
  </r>
  <r>
    <x v="797"/>
    <s v="Elizabeth Miller"/>
    <x v="77"/>
    <x v="1"/>
    <x v="474"/>
    <d v="2024-02-23T00:00:00"/>
    <x v="1"/>
    <x v="7"/>
    <n v="1697.82"/>
    <x v="1"/>
    <x v="0"/>
    <n v="1"/>
    <x v="2"/>
    <x v="5"/>
    <n v="2024"/>
  </r>
  <r>
    <x v="798"/>
    <s v="Robert Lopez"/>
    <x v="22"/>
    <x v="0"/>
    <x v="308"/>
    <d v="2025-11-22T00:00:00"/>
    <x v="0"/>
    <x v="29"/>
    <n v="8833.89"/>
    <x v="6"/>
    <x v="0"/>
    <n v="3"/>
    <x v="3"/>
    <x v="7"/>
    <n v="2025"/>
  </r>
  <r>
    <x v="799"/>
    <s v="Robert Hernandez"/>
    <x v="24"/>
    <x v="0"/>
    <x v="183"/>
    <d v="2025-06-02T00:00:00"/>
    <x v="2"/>
    <x v="5"/>
    <n v="809.13"/>
    <x v="0"/>
    <x v="1"/>
    <n v="1"/>
    <x v="0"/>
    <x v="19"/>
    <n v="2025"/>
  </r>
  <r>
    <x v="800"/>
    <s v="Matthew Moore"/>
    <x v="21"/>
    <x v="0"/>
    <x v="475"/>
    <d v="2024-02-15T00:00:00"/>
    <x v="1"/>
    <x v="36"/>
    <n v="2529.54"/>
    <x v="6"/>
    <x v="1"/>
    <n v="2"/>
    <x v="1"/>
    <x v="5"/>
    <n v="2024"/>
  </r>
  <r>
    <x v="801"/>
    <s v="Donna Jackson"/>
    <x v="71"/>
    <x v="1"/>
    <x v="476"/>
    <d v="2025-10-12T00:00:00"/>
    <x v="3"/>
    <x v="9"/>
    <n v="4739.3900000000003"/>
    <x v="1"/>
    <x v="1"/>
    <n v="3"/>
    <x v="4"/>
    <x v="14"/>
    <n v="2025"/>
  </r>
  <r>
    <x v="802"/>
    <s v="Sarah Brown"/>
    <x v="35"/>
    <x v="1"/>
    <x v="477"/>
    <d v="2025-11-01T00:00:00"/>
    <x v="1"/>
    <x v="3"/>
    <n v="1444.42"/>
    <x v="1"/>
    <x v="0"/>
    <n v="1"/>
    <x v="3"/>
    <x v="14"/>
    <n v="2025"/>
  </r>
  <r>
    <x v="803"/>
    <s v="Carol Lee"/>
    <x v="7"/>
    <x v="1"/>
    <x v="478"/>
    <d v="2024-04-03T00:00:00"/>
    <x v="2"/>
    <x v="10"/>
    <n v="646.89"/>
    <x v="5"/>
    <x v="1"/>
    <n v="1"/>
    <x v="2"/>
    <x v="2"/>
    <n v="2024"/>
  </r>
  <r>
    <x v="804"/>
    <s v="Brian Clark"/>
    <x v="40"/>
    <x v="0"/>
    <x v="193"/>
    <d v="2024-09-20T00:00:00"/>
    <x v="1"/>
    <x v="32"/>
    <n v="4600.38"/>
    <x v="5"/>
    <x v="0"/>
    <n v="2"/>
    <x v="0"/>
    <x v="21"/>
    <n v="2024"/>
  </r>
  <r>
    <x v="805"/>
    <s v="Elizabeth Walker"/>
    <x v="58"/>
    <x v="1"/>
    <x v="368"/>
    <d v="2024-07-25T00:00:00"/>
    <x v="1"/>
    <x v="3"/>
    <n v="2479.6999999999998"/>
    <x v="1"/>
    <x v="0"/>
    <n v="3"/>
    <x v="1"/>
    <x v="0"/>
    <n v="2024"/>
  </r>
  <r>
    <x v="806"/>
    <s v="James Perez"/>
    <x v="47"/>
    <x v="0"/>
    <x v="427"/>
    <d v="2025-11-01T00:00:00"/>
    <x v="2"/>
    <x v="16"/>
    <n v="10101.09"/>
    <x v="1"/>
    <x v="2"/>
    <n v="7"/>
    <x v="3"/>
    <x v="14"/>
    <n v="2025"/>
  </r>
  <r>
    <x v="807"/>
    <s v="Karen Miller"/>
    <x v="8"/>
    <x v="1"/>
    <x v="479"/>
    <d v="2025-09-24T00:00:00"/>
    <x v="2"/>
    <x v="33"/>
    <n v="2291.15"/>
    <x v="0"/>
    <x v="0"/>
    <n v="3"/>
    <x v="0"/>
    <x v="20"/>
    <n v="2025"/>
  </r>
  <r>
    <x v="808"/>
    <s v="Barbara Miller"/>
    <x v="28"/>
    <x v="1"/>
    <x v="480"/>
    <d v="2024-10-08T00:00:00"/>
    <x v="2"/>
    <x v="5"/>
    <n v="4440.5200000000004"/>
    <x v="2"/>
    <x v="1"/>
    <n v="3"/>
    <x v="0"/>
    <x v="3"/>
    <n v="2024"/>
  </r>
  <r>
    <x v="809"/>
    <s v="Richard Martinez"/>
    <x v="46"/>
    <x v="0"/>
    <x v="481"/>
    <d v="2024-11-07T00:00:00"/>
    <x v="2"/>
    <x v="16"/>
    <n v="923.56"/>
    <x v="3"/>
    <x v="0"/>
    <n v="1"/>
    <x v="1"/>
    <x v="4"/>
    <n v="2024"/>
  </r>
  <r>
    <x v="810"/>
    <s v="James Young"/>
    <x v="1"/>
    <x v="0"/>
    <x v="111"/>
    <d v="2024-11-08T00:00:00"/>
    <x v="0"/>
    <x v="29"/>
    <n v="7663.44"/>
    <x v="3"/>
    <x v="0"/>
    <n v="3"/>
    <x v="0"/>
    <x v="4"/>
    <n v="2024"/>
  </r>
  <r>
    <x v="811"/>
    <s v="Jennifer Smith"/>
    <x v="31"/>
    <x v="1"/>
    <x v="355"/>
    <d v="2025-02-02T00:00:00"/>
    <x v="3"/>
    <x v="24"/>
    <n v="6386.92"/>
    <x v="6"/>
    <x v="0"/>
    <n v="4"/>
    <x v="4"/>
    <x v="17"/>
    <n v="2025"/>
  </r>
  <r>
    <x v="812"/>
    <s v="Susan Thomas"/>
    <x v="63"/>
    <x v="1"/>
    <x v="474"/>
    <d v="2024-02-24T00:00:00"/>
    <x v="1"/>
    <x v="32"/>
    <n v="3243.4"/>
    <x v="5"/>
    <x v="2"/>
    <n v="2"/>
    <x v="3"/>
    <x v="5"/>
    <n v="2024"/>
  </r>
  <r>
    <x v="813"/>
    <s v="William Anderson"/>
    <x v="57"/>
    <x v="0"/>
    <x v="390"/>
    <d v="2024-08-21T00:00:00"/>
    <x v="1"/>
    <x v="36"/>
    <n v="2328.9699999999998"/>
    <x v="0"/>
    <x v="2"/>
    <n v="2"/>
    <x v="2"/>
    <x v="8"/>
    <n v="2024"/>
  </r>
  <r>
    <x v="814"/>
    <s v="Carol Ramirez"/>
    <x v="52"/>
    <x v="1"/>
    <x v="428"/>
    <d v="2024-04-11T00:00:00"/>
    <x v="0"/>
    <x v="20"/>
    <n v="11411.19"/>
    <x v="5"/>
    <x v="0"/>
    <n v="5"/>
    <x v="1"/>
    <x v="2"/>
    <n v="2024"/>
  </r>
  <r>
    <x v="815"/>
    <s v="Barbara Thomas"/>
    <x v="64"/>
    <x v="1"/>
    <x v="457"/>
    <d v="2024-06-14T00:00:00"/>
    <x v="5"/>
    <x v="17"/>
    <n v="18741.169999999998"/>
    <x v="5"/>
    <x v="0"/>
    <n v="8"/>
    <x v="1"/>
    <x v="16"/>
    <n v="2024"/>
  </r>
  <r>
    <x v="816"/>
    <s v="Ashley Thompson"/>
    <x v="5"/>
    <x v="1"/>
    <x v="186"/>
    <d v="2024-09-08T00:00:00"/>
    <x v="1"/>
    <x v="3"/>
    <n v="3602.24"/>
    <x v="5"/>
    <x v="0"/>
    <n v="2"/>
    <x v="0"/>
    <x v="21"/>
    <n v="2024"/>
  </r>
  <r>
    <x v="817"/>
    <s v="Ashley Perez"/>
    <x v="33"/>
    <x v="1"/>
    <x v="418"/>
    <d v="2024-11-15T00:00:00"/>
    <x v="4"/>
    <x v="13"/>
    <n v="3967.17"/>
    <x v="3"/>
    <x v="0"/>
    <n v="2"/>
    <x v="0"/>
    <x v="4"/>
    <n v="2024"/>
  </r>
  <r>
    <x v="818"/>
    <s v="Jennifer Thompson"/>
    <x v="81"/>
    <x v="1"/>
    <x v="481"/>
    <d v="2024-11-10T00:00:00"/>
    <x v="4"/>
    <x v="18"/>
    <n v="5430.38"/>
    <x v="1"/>
    <x v="0"/>
    <n v="4"/>
    <x v="2"/>
    <x v="4"/>
    <n v="2024"/>
  </r>
  <r>
    <x v="819"/>
    <s v="Barbara Martinez"/>
    <x v="27"/>
    <x v="1"/>
    <x v="3"/>
    <d v="2024-10-29T00:00:00"/>
    <x v="2"/>
    <x v="5"/>
    <n v="3153.91"/>
    <x v="3"/>
    <x v="0"/>
    <n v="6"/>
    <x v="3"/>
    <x v="3"/>
    <n v="2024"/>
  </r>
  <r>
    <x v="820"/>
    <s v="Jessica Perez"/>
    <x v="29"/>
    <x v="1"/>
    <x v="228"/>
    <d v="2024-09-18T00:00:00"/>
    <x v="2"/>
    <x v="33"/>
    <n v="4214.28"/>
    <x v="1"/>
    <x v="0"/>
    <n v="6"/>
    <x v="2"/>
    <x v="21"/>
    <n v="2024"/>
  </r>
  <r>
    <x v="821"/>
    <s v="Richard Anderson"/>
    <x v="14"/>
    <x v="0"/>
    <x v="482"/>
    <d v="2025-10-20T00:00:00"/>
    <x v="5"/>
    <x v="30"/>
    <n v="5898.39"/>
    <x v="0"/>
    <x v="1"/>
    <n v="3"/>
    <x v="1"/>
    <x v="14"/>
    <n v="2025"/>
  </r>
  <r>
    <x v="822"/>
    <s v="Susan Garcia"/>
    <x v="17"/>
    <x v="1"/>
    <x v="483"/>
    <d v="2025-11-27T00:00:00"/>
    <x v="4"/>
    <x v="27"/>
    <n v="32045.67"/>
    <x v="1"/>
    <x v="0"/>
    <n v="14"/>
    <x v="3"/>
    <x v="7"/>
    <n v="2025"/>
  </r>
  <r>
    <x v="823"/>
    <s v="Thomas Jones"/>
    <x v="41"/>
    <x v="0"/>
    <x v="484"/>
    <d v="2024-04-06T00:00:00"/>
    <x v="5"/>
    <x v="34"/>
    <n v="11916.1"/>
    <x v="3"/>
    <x v="0"/>
    <n v="5"/>
    <x v="1"/>
    <x v="2"/>
    <n v="2024"/>
  </r>
  <r>
    <x v="824"/>
    <s v="Barbara Thompson"/>
    <x v="82"/>
    <x v="1"/>
    <x v="485"/>
    <d v="2024-11-22T00:00:00"/>
    <x v="2"/>
    <x v="21"/>
    <n v="5499.8"/>
    <x v="1"/>
    <x v="1"/>
    <n v="7"/>
    <x v="2"/>
    <x v="4"/>
    <n v="2024"/>
  </r>
  <r>
    <x v="825"/>
    <s v="Andrew Jackson"/>
    <x v="29"/>
    <x v="0"/>
    <x v="259"/>
    <d v="2025-11-17T00:00:00"/>
    <x v="5"/>
    <x v="17"/>
    <n v="8755.16"/>
    <x v="4"/>
    <x v="0"/>
    <n v="5"/>
    <x v="2"/>
    <x v="7"/>
    <n v="2025"/>
  </r>
  <r>
    <x v="826"/>
    <s v="Matthew White"/>
    <x v="17"/>
    <x v="0"/>
    <x v="449"/>
    <d v="2025-01-12T00:00:00"/>
    <x v="2"/>
    <x v="21"/>
    <n v="3252.83"/>
    <x v="5"/>
    <x v="2"/>
    <n v="5"/>
    <x v="3"/>
    <x v="17"/>
    <n v="2025"/>
  </r>
  <r>
    <x v="827"/>
    <s v="Michelle Martinez"/>
    <x v="24"/>
    <x v="1"/>
    <x v="486"/>
    <d v="2025-10-13T00:00:00"/>
    <x v="4"/>
    <x v="14"/>
    <n v="12778.56"/>
    <x v="1"/>
    <x v="1"/>
    <n v="5"/>
    <x v="0"/>
    <x v="14"/>
    <n v="2025"/>
  </r>
  <r>
    <x v="828"/>
    <s v="Daniel White"/>
    <x v="32"/>
    <x v="0"/>
    <x v="259"/>
    <d v="2025-11-24T00:00:00"/>
    <x v="4"/>
    <x v="13"/>
    <n v="27830.62"/>
    <x v="0"/>
    <x v="1"/>
    <n v="12"/>
    <x v="1"/>
    <x v="7"/>
    <n v="2025"/>
  </r>
  <r>
    <x v="829"/>
    <s v="Joseph Perez"/>
    <x v="45"/>
    <x v="0"/>
    <x v="406"/>
    <d v="2025-07-26T00:00:00"/>
    <x v="3"/>
    <x v="37"/>
    <n v="4474.62"/>
    <x v="6"/>
    <x v="1"/>
    <n v="4"/>
    <x v="4"/>
    <x v="22"/>
    <n v="2025"/>
  </r>
  <r>
    <x v="830"/>
    <s v="James Moore"/>
    <x v="84"/>
    <x v="0"/>
    <x v="189"/>
    <d v="2025-01-05T00:00:00"/>
    <x v="3"/>
    <x v="37"/>
    <n v="3553.09"/>
    <x v="0"/>
    <x v="1"/>
    <n v="4"/>
    <x v="4"/>
    <x v="17"/>
    <n v="2025"/>
  </r>
  <r>
    <x v="831"/>
    <s v="Joshua Thompson"/>
    <x v="43"/>
    <x v="0"/>
    <x v="20"/>
    <d v="2025-10-24T00:00:00"/>
    <x v="3"/>
    <x v="22"/>
    <n v="2767.65"/>
    <x v="5"/>
    <x v="0"/>
    <n v="2"/>
    <x v="4"/>
    <x v="14"/>
    <n v="2025"/>
  </r>
  <r>
    <x v="832"/>
    <s v="Kevin Lopez"/>
    <x v="31"/>
    <x v="0"/>
    <x v="487"/>
    <d v="2024-06-11T00:00:00"/>
    <x v="3"/>
    <x v="9"/>
    <n v="2721.43"/>
    <x v="1"/>
    <x v="0"/>
    <n v="2"/>
    <x v="4"/>
    <x v="16"/>
    <n v="2024"/>
  </r>
  <r>
    <x v="833"/>
    <s v="Jennifer Thomas"/>
    <x v="7"/>
    <x v="1"/>
    <x v="488"/>
    <d v="2024-10-11T00:00:00"/>
    <x v="1"/>
    <x v="31"/>
    <n v="2887.15"/>
    <x v="3"/>
    <x v="2"/>
    <n v="3"/>
    <x v="2"/>
    <x v="3"/>
    <n v="2024"/>
  </r>
  <r>
    <x v="834"/>
    <s v="Daniel Wilson"/>
    <x v="3"/>
    <x v="0"/>
    <x v="489"/>
    <d v="2024-09-20T00:00:00"/>
    <x v="1"/>
    <x v="2"/>
    <n v="7071.48"/>
    <x v="1"/>
    <x v="0"/>
    <n v="3"/>
    <x v="2"/>
    <x v="21"/>
    <n v="2024"/>
  </r>
  <r>
    <x v="835"/>
    <s v="Kimberly Harris"/>
    <x v="67"/>
    <x v="1"/>
    <x v="161"/>
    <d v="2024-01-13T00:00:00"/>
    <x v="0"/>
    <x v="29"/>
    <n v="8289.81"/>
    <x v="1"/>
    <x v="0"/>
    <n v="4"/>
    <x v="1"/>
    <x v="23"/>
    <n v="2024"/>
  </r>
  <r>
    <x v="836"/>
    <s v="Elizabeth Jackson"/>
    <x v="83"/>
    <x v="1"/>
    <x v="490"/>
    <d v="2025-07-09T00:00:00"/>
    <x v="2"/>
    <x v="21"/>
    <n v="1605.53"/>
    <x v="1"/>
    <x v="0"/>
    <n v="3"/>
    <x v="2"/>
    <x v="22"/>
    <n v="2025"/>
  </r>
  <r>
    <x v="837"/>
    <s v="Betty Wilson"/>
    <x v="82"/>
    <x v="1"/>
    <x v="266"/>
    <d v="2025-01-18T00:00:00"/>
    <x v="2"/>
    <x v="21"/>
    <n v="3803.99"/>
    <x v="4"/>
    <x v="2"/>
    <n v="3"/>
    <x v="2"/>
    <x v="17"/>
    <n v="2025"/>
  </r>
  <r>
    <x v="838"/>
    <s v="Karen Lopez"/>
    <x v="63"/>
    <x v="1"/>
    <x v="149"/>
    <d v="2025-09-19T00:00:00"/>
    <x v="4"/>
    <x v="27"/>
    <n v="11654.43"/>
    <x v="2"/>
    <x v="2"/>
    <n v="6"/>
    <x v="3"/>
    <x v="20"/>
    <n v="2025"/>
  </r>
  <r>
    <x v="839"/>
    <s v="Christopher Brown"/>
    <x v="37"/>
    <x v="0"/>
    <x v="341"/>
    <d v="2025-12-15T00:00:00"/>
    <x v="3"/>
    <x v="25"/>
    <n v="3542.96"/>
    <x v="1"/>
    <x v="2"/>
    <n v="2"/>
    <x v="4"/>
    <x v="9"/>
    <n v="2025"/>
  </r>
  <r>
    <x v="840"/>
    <s v="Robert Moore"/>
    <x v="37"/>
    <x v="0"/>
    <x v="491"/>
    <d v="2025-12-11T00:00:00"/>
    <x v="3"/>
    <x v="23"/>
    <n v="6340.11"/>
    <x v="5"/>
    <x v="1"/>
    <n v="5"/>
    <x v="4"/>
    <x v="9"/>
    <n v="2025"/>
  </r>
  <r>
    <x v="841"/>
    <s v="Joshua Walker"/>
    <x v="49"/>
    <x v="0"/>
    <x v="492"/>
    <d v="2024-04-17T00:00:00"/>
    <x v="4"/>
    <x v="18"/>
    <n v="33330.199999999997"/>
    <x v="0"/>
    <x v="0"/>
    <n v="13"/>
    <x v="2"/>
    <x v="2"/>
    <n v="2024"/>
  </r>
  <r>
    <x v="842"/>
    <s v="Barbara Martin"/>
    <x v="17"/>
    <x v="1"/>
    <x v="18"/>
    <d v="2024-12-26T00:00:00"/>
    <x v="4"/>
    <x v="14"/>
    <n v="4622.9399999999996"/>
    <x v="3"/>
    <x v="0"/>
    <n v="3"/>
    <x v="3"/>
    <x v="12"/>
    <n v="2024"/>
  </r>
  <r>
    <x v="843"/>
    <s v="William Thomas"/>
    <x v="59"/>
    <x v="0"/>
    <x v="373"/>
    <d v="2024-07-04T00:00:00"/>
    <x v="3"/>
    <x v="24"/>
    <n v="6314.88"/>
    <x v="5"/>
    <x v="0"/>
    <n v="5"/>
    <x v="4"/>
    <x v="16"/>
    <n v="2024"/>
  </r>
  <r>
    <x v="844"/>
    <s v="Joshua Davis"/>
    <x v="77"/>
    <x v="0"/>
    <x v="493"/>
    <d v="2024-05-11T00:00:00"/>
    <x v="4"/>
    <x v="18"/>
    <n v="25971.47"/>
    <x v="1"/>
    <x v="1"/>
    <n v="14"/>
    <x v="2"/>
    <x v="2"/>
    <n v="2024"/>
  </r>
  <r>
    <x v="845"/>
    <s v="Lisa Miller"/>
    <x v="22"/>
    <x v="1"/>
    <x v="7"/>
    <d v="2024-02-29T00:00:00"/>
    <x v="2"/>
    <x v="33"/>
    <n v="2926.43"/>
    <x v="3"/>
    <x v="0"/>
    <n v="5"/>
    <x v="3"/>
    <x v="5"/>
    <n v="2024"/>
  </r>
  <r>
    <x v="846"/>
    <s v="Daniel Ramirez"/>
    <x v="53"/>
    <x v="0"/>
    <x v="494"/>
    <d v="2025-10-06T00:00:00"/>
    <x v="2"/>
    <x v="8"/>
    <n v="6712.97"/>
    <x v="1"/>
    <x v="1"/>
    <n v="5"/>
    <x v="3"/>
    <x v="14"/>
    <n v="2025"/>
  </r>
  <r>
    <x v="847"/>
    <s v="Karen Miller"/>
    <x v="67"/>
    <x v="1"/>
    <x v="495"/>
    <d v="2024-09-07T00:00:00"/>
    <x v="2"/>
    <x v="5"/>
    <n v="3235.11"/>
    <x v="1"/>
    <x v="0"/>
    <n v="3"/>
    <x v="1"/>
    <x v="21"/>
    <n v="2024"/>
  </r>
  <r>
    <x v="848"/>
    <s v="Steven Williams"/>
    <x v="40"/>
    <x v="0"/>
    <x v="69"/>
    <d v="2025-11-09T00:00:00"/>
    <x v="1"/>
    <x v="7"/>
    <n v="1023.76"/>
    <x v="6"/>
    <x v="0"/>
    <n v="1"/>
    <x v="0"/>
    <x v="7"/>
    <n v="2025"/>
  </r>
  <r>
    <x v="849"/>
    <s v="Donna Lee"/>
    <x v="56"/>
    <x v="1"/>
    <x v="63"/>
    <d v="2025-03-20T00:00:00"/>
    <x v="3"/>
    <x v="22"/>
    <n v="3307.88"/>
    <x v="1"/>
    <x v="2"/>
    <n v="5"/>
    <x v="4"/>
    <x v="1"/>
    <n v="2025"/>
  </r>
  <r>
    <x v="850"/>
    <s v="Richard Thompson"/>
    <x v="37"/>
    <x v="0"/>
    <x v="496"/>
    <d v="2024-03-15T00:00:00"/>
    <x v="3"/>
    <x v="22"/>
    <n v="2503.98"/>
    <x v="4"/>
    <x v="0"/>
    <n v="2"/>
    <x v="4"/>
    <x v="15"/>
    <n v="2024"/>
  </r>
  <r>
    <x v="851"/>
    <s v="Mark Young"/>
    <x v="19"/>
    <x v="0"/>
    <x v="385"/>
    <d v="2024-09-20T00:00:00"/>
    <x v="4"/>
    <x v="11"/>
    <n v="9721.9"/>
    <x v="2"/>
    <x v="1"/>
    <n v="6"/>
    <x v="3"/>
    <x v="21"/>
    <n v="2024"/>
  </r>
  <r>
    <x v="852"/>
    <s v="Steven Lewis"/>
    <x v="61"/>
    <x v="0"/>
    <x v="497"/>
    <d v="2025-05-02T00:00:00"/>
    <x v="2"/>
    <x v="4"/>
    <n v="8925.93"/>
    <x v="5"/>
    <x v="2"/>
    <n v="7"/>
    <x v="3"/>
    <x v="18"/>
    <n v="2025"/>
  </r>
  <r>
    <x v="853"/>
    <s v="Kevin Anderson"/>
    <x v="49"/>
    <x v="0"/>
    <x v="391"/>
    <d v="2024-04-28T00:00:00"/>
    <x v="2"/>
    <x v="10"/>
    <n v="2423.96"/>
    <x v="3"/>
    <x v="0"/>
    <n v="3"/>
    <x v="2"/>
    <x v="2"/>
    <n v="2024"/>
  </r>
  <r>
    <x v="854"/>
    <s v="Donna Martin"/>
    <x v="41"/>
    <x v="1"/>
    <x v="88"/>
    <d v="2024-11-22T00:00:00"/>
    <x v="2"/>
    <x v="5"/>
    <n v="4453.26"/>
    <x v="0"/>
    <x v="1"/>
    <n v="6"/>
    <x v="1"/>
    <x v="4"/>
    <n v="2024"/>
  </r>
  <r>
    <x v="855"/>
    <s v="Kevin Lewis"/>
    <x v="58"/>
    <x v="0"/>
    <x v="228"/>
    <d v="2024-09-15T00:00:00"/>
    <x v="5"/>
    <x v="28"/>
    <n v="4774.57"/>
    <x v="3"/>
    <x v="0"/>
    <n v="3"/>
    <x v="1"/>
    <x v="21"/>
    <n v="2024"/>
  </r>
  <r>
    <x v="856"/>
    <s v="Betty Jackson"/>
    <x v="49"/>
    <x v="1"/>
    <x v="133"/>
    <d v="2024-04-03T00:00:00"/>
    <x v="1"/>
    <x v="7"/>
    <n v="3412"/>
    <x v="6"/>
    <x v="0"/>
    <n v="3"/>
    <x v="2"/>
    <x v="15"/>
    <n v="2024"/>
  </r>
  <r>
    <x v="857"/>
    <s v="Ashley Martin"/>
    <x v="38"/>
    <x v="1"/>
    <x v="498"/>
    <d v="2024-10-12T00:00:00"/>
    <x v="2"/>
    <x v="10"/>
    <n v="1093.33"/>
    <x v="1"/>
    <x v="0"/>
    <n v="1"/>
    <x v="0"/>
    <x v="3"/>
    <n v="2024"/>
  </r>
  <r>
    <x v="858"/>
    <s v="Linda Lewis"/>
    <x v="68"/>
    <x v="1"/>
    <x v="499"/>
    <d v="2025-11-07T00:00:00"/>
    <x v="3"/>
    <x v="9"/>
    <n v="5111.21"/>
    <x v="6"/>
    <x v="0"/>
    <n v="4"/>
    <x v="4"/>
    <x v="7"/>
    <n v="2025"/>
  </r>
  <r>
    <x v="859"/>
    <s v="Kevin Walker"/>
    <x v="66"/>
    <x v="0"/>
    <x v="156"/>
    <d v="2025-03-07T00:00:00"/>
    <x v="2"/>
    <x v="8"/>
    <n v="5375.85"/>
    <x v="5"/>
    <x v="0"/>
    <n v="6"/>
    <x v="1"/>
    <x v="1"/>
    <n v="2025"/>
  </r>
  <r>
    <x v="860"/>
    <s v="Kevin Lee"/>
    <x v="55"/>
    <x v="0"/>
    <x v="5"/>
    <d v="2024-07-25T00:00:00"/>
    <x v="4"/>
    <x v="11"/>
    <n v="9604.6200000000008"/>
    <x v="6"/>
    <x v="1"/>
    <n v="4"/>
    <x v="0"/>
    <x v="0"/>
    <n v="2024"/>
  </r>
  <r>
    <x v="861"/>
    <s v="Betty Lopez"/>
    <x v="38"/>
    <x v="1"/>
    <x v="500"/>
    <d v="2024-12-14T00:00:00"/>
    <x v="2"/>
    <x v="33"/>
    <n v="8806.14"/>
    <x v="5"/>
    <x v="0"/>
    <n v="7"/>
    <x v="0"/>
    <x v="12"/>
    <n v="2024"/>
  </r>
  <r>
    <x v="862"/>
    <s v="Kimberly Anderson"/>
    <x v="83"/>
    <x v="1"/>
    <x v="355"/>
    <d v="2025-01-31T00:00:00"/>
    <x v="1"/>
    <x v="32"/>
    <n v="3945.82"/>
    <x v="1"/>
    <x v="0"/>
    <n v="2"/>
    <x v="2"/>
    <x v="17"/>
    <n v="2025"/>
  </r>
  <r>
    <x v="863"/>
    <s v="Sandra Wilson"/>
    <x v="79"/>
    <x v="1"/>
    <x v="150"/>
    <d v="2025-08-16T00:00:00"/>
    <x v="1"/>
    <x v="31"/>
    <n v="2303.3000000000002"/>
    <x v="1"/>
    <x v="0"/>
    <n v="1"/>
    <x v="2"/>
    <x v="6"/>
    <n v="2025"/>
  </r>
  <r>
    <x v="864"/>
    <s v="Daniel Thomas"/>
    <x v="65"/>
    <x v="0"/>
    <x v="437"/>
    <d v="2025-06-07T00:00:00"/>
    <x v="3"/>
    <x v="23"/>
    <n v="1534.49"/>
    <x v="1"/>
    <x v="0"/>
    <n v="1"/>
    <x v="4"/>
    <x v="19"/>
    <n v="2025"/>
  </r>
  <r>
    <x v="865"/>
    <s v="Paul Thomas"/>
    <x v="69"/>
    <x v="0"/>
    <x v="472"/>
    <d v="2024-02-28T00:00:00"/>
    <x v="2"/>
    <x v="16"/>
    <n v="1353.93"/>
    <x v="1"/>
    <x v="0"/>
    <n v="1"/>
    <x v="2"/>
    <x v="5"/>
    <n v="2024"/>
  </r>
  <r>
    <x v="866"/>
    <s v="Dorothy Wilson"/>
    <x v="14"/>
    <x v="1"/>
    <x v="501"/>
    <d v="2024-05-16T00:00:00"/>
    <x v="0"/>
    <x v="29"/>
    <n v="12898.02"/>
    <x v="4"/>
    <x v="1"/>
    <n v="6"/>
    <x v="1"/>
    <x v="11"/>
    <n v="2024"/>
  </r>
  <r>
    <x v="867"/>
    <s v="Karen Jones"/>
    <x v="1"/>
    <x v="1"/>
    <x v="102"/>
    <d v="2024-05-12T00:00:00"/>
    <x v="2"/>
    <x v="10"/>
    <n v="4833.0200000000004"/>
    <x v="5"/>
    <x v="2"/>
    <n v="4"/>
    <x v="0"/>
    <x v="11"/>
    <n v="2024"/>
  </r>
  <r>
    <x v="868"/>
    <s v="Mark Martinez"/>
    <x v="18"/>
    <x v="0"/>
    <x v="122"/>
    <d v="2024-11-26T00:00:00"/>
    <x v="4"/>
    <x v="27"/>
    <n v="3132.44"/>
    <x v="1"/>
    <x v="0"/>
    <n v="3"/>
    <x v="3"/>
    <x v="4"/>
    <n v="2024"/>
  </r>
  <r>
    <x v="869"/>
    <s v="Brian Jackson"/>
    <x v="34"/>
    <x v="0"/>
    <x v="351"/>
    <d v="2025-05-21T00:00:00"/>
    <x v="5"/>
    <x v="28"/>
    <n v="9720.49"/>
    <x v="3"/>
    <x v="1"/>
    <n v="7"/>
    <x v="0"/>
    <x v="13"/>
    <n v="2025"/>
  </r>
  <r>
    <x v="870"/>
    <s v="Sandra Harris"/>
    <x v="43"/>
    <x v="1"/>
    <x v="27"/>
    <d v="2025-01-28T00:00:00"/>
    <x v="3"/>
    <x v="9"/>
    <n v="3754.13"/>
    <x v="1"/>
    <x v="0"/>
    <n v="3"/>
    <x v="4"/>
    <x v="17"/>
    <n v="2025"/>
  </r>
  <r>
    <x v="871"/>
    <s v="Thomas Smith"/>
    <x v="51"/>
    <x v="0"/>
    <x v="278"/>
    <d v="2024-10-08T00:00:00"/>
    <x v="2"/>
    <x v="8"/>
    <n v="5762.53"/>
    <x v="3"/>
    <x v="0"/>
    <n v="4"/>
    <x v="2"/>
    <x v="3"/>
    <n v="2024"/>
  </r>
  <r>
    <x v="872"/>
    <s v="James Rodriguez"/>
    <x v="25"/>
    <x v="0"/>
    <x v="502"/>
    <d v="2025-11-08T00:00:00"/>
    <x v="2"/>
    <x v="21"/>
    <n v="808.56"/>
    <x v="5"/>
    <x v="0"/>
    <n v="1"/>
    <x v="1"/>
    <x v="7"/>
    <n v="2025"/>
  </r>
  <r>
    <x v="873"/>
    <s v="Dorothy Johnson"/>
    <x v="40"/>
    <x v="1"/>
    <x v="259"/>
    <d v="2025-11-20T00:00:00"/>
    <x v="0"/>
    <x v="6"/>
    <n v="15637.55"/>
    <x v="3"/>
    <x v="0"/>
    <n v="8"/>
    <x v="0"/>
    <x v="7"/>
    <n v="2025"/>
  </r>
  <r>
    <x v="874"/>
    <s v="Carol Ramirez"/>
    <x v="23"/>
    <x v="1"/>
    <x v="503"/>
    <d v="2025-03-08T00:00:00"/>
    <x v="1"/>
    <x v="7"/>
    <n v="4011.18"/>
    <x v="3"/>
    <x v="0"/>
    <n v="2"/>
    <x v="0"/>
    <x v="1"/>
    <n v="2025"/>
  </r>
  <r>
    <x v="875"/>
    <s v="Matthew Lee"/>
    <x v="5"/>
    <x v="0"/>
    <x v="504"/>
    <d v="2024-05-05T00:00:00"/>
    <x v="0"/>
    <x v="20"/>
    <n v="10693.69"/>
    <x v="6"/>
    <x v="0"/>
    <n v="5"/>
    <x v="0"/>
    <x v="2"/>
    <n v="2024"/>
  </r>
  <r>
    <x v="876"/>
    <s v="Michelle Ramirez"/>
    <x v="53"/>
    <x v="1"/>
    <x v="500"/>
    <d v="2024-12-10T00:00:00"/>
    <x v="4"/>
    <x v="27"/>
    <n v="3746.98"/>
    <x v="1"/>
    <x v="0"/>
    <n v="3"/>
    <x v="3"/>
    <x v="12"/>
    <n v="2024"/>
  </r>
  <r>
    <x v="877"/>
    <s v="Richard Davis"/>
    <x v="49"/>
    <x v="0"/>
    <x v="114"/>
    <d v="2024-08-21T00:00:00"/>
    <x v="5"/>
    <x v="34"/>
    <n v="24544.65"/>
    <x v="1"/>
    <x v="0"/>
    <n v="10"/>
    <x v="2"/>
    <x v="8"/>
    <n v="2024"/>
  </r>
  <r>
    <x v="878"/>
    <s v="Richard Harris"/>
    <x v="17"/>
    <x v="0"/>
    <x v="505"/>
    <d v="2024-11-09T00:00:00"/>
    <x v="1"/>
    <x v="31"/>
    <n v="1355.19"/>
    <x v="1"/>
    <x v="0"/>
    <n v="1"/>
    <x v="3"/>
    <x v="4"/>
    <n v="2024"/>
  </r>
  <r>
    <x v="879"/>
    <s v="Jennifer Jones"/>
    <x v="74"/>
    <x v="1"/>
    <x v="398"/>
    <d v="2024-07-26T00:00:00"/>
    <x v="3"/>
    <x v="24"/>
    <n v="628.96"/>
    <x v="5"/>
    <x v="0"/>
    <n v="1"/>
    <x v="4"/>
    <x v="0"/>
    <n v="2024"/>
  </r>
  <r>
    <x v="880"/>
    <s v="Emily Martinez"/>
    <x v="44"/>
    <x v="1"/>
    <x v="506"/>
    <d v="2025-01-29T00:00:00"/>
    <x v="2"/>
    <x v="16"/>
    <n v="2366.37"/>
    <x v="1"/>
    <x v="0"/>
    <n v="2"/>
    <x v="3"/>
    <x v="17"/>
    <n v="2025"/>
  </r>
  <r>
    <x v="881"/>
    <s v="Kevin Thomas"/>
    <x v="78"/>
    <x v="0"/>
    <x v="375"/>
    <d v="2024-10-01T00:00:00"/>
    <x v="1"/>
    <x v="36"/>
    <n v="2471.9699999999998"/>
    <x v="4"/>
    <x v="0"/>
    <n v="1"/>
    <x v="2"/>
    <x v="21"/>
    <n v="2024"/>
  </r>
  <r>
    <x v="882"/>
    <s v="Elizabeth Young"/>
    <x v="38"/>
    <x v="1"/>
    <x v="485"/>
    <d v="2024-11-20T00:00:00"/>
    <x v="0"/>
    <x v="19"/>
    <n v="12189.63"/>
    <x v="3"/>
    <x v="0"/>
    <n v="5"/>
    <x v="0"/>
    <x v="4"/>
    <n v="2024"/>
  </r>
  <r>
    <x v="883"/>
    <s v="Steven Jones"/>
    <x v="9"/>
    <x v="0"/>
    <x v="181"/>
    <d v="2025-01-06T00:00:00"/>
    <x v="3"/>
    <x v="23"/>
    <n v="4133.3599999999997"/>
    <x v="0"/>
    <x v="1"/>
    <n v="3"/>
    <x v="4"/>
    <x v="17"/>
    <n v="2025"/>
  </r>
  <r>
    <x v="884"/>
    <s v="Elizabeth Lee"/>
    <x v="3"/>
    <x v="1"/>
    <x v="266"/>
    <d v="2025-01-25T00:00:00"/>
    <x v="4"/>
    <x v="13"/>
    <n v="10560.57"/>
    <x v="5"/>
    <x v="0"/>
    <n v="10"/>
    <x v="2"/>
    <x v="17"/>
    <n v="2025"/>
  </r>
  <r>
    <x v="885"/>
    <s v="Donna Harris"/>
    <x v="55"/>
    <x v="1"/>
    <x v="5"/>
    <d v="2024-07-27T00:00:00"/>
    <x v="0"/>
    <x v="20"/>
    <n v="16685.38"/>
    <x v="3"/>
    <x v="2"/>
    <n v="6"/>
    <x v="0"/>
    <x v="0"/>
    <n v="2024"/>
  </r>
  <r>
    <x v="886"/>
    <s v="Betty Thompson"/>
    <x v="42"/>
    <x v="1"/>
    <x v="507"/>
    <d v="2024-06-12T00:00:00"/>
    <x v="4"/>
    <x v="18"/>
    <n v="12448.18"/>
    <x v="3"/>
    <x v="0"/>
    <n v="5"/>
    <x v="3"/>
    <x v="16"/>
    <n v="2024"/>
  </r>
  <r>
    <x v="887"/>
    <s v="Carol Garcia"/>
    <x v="23"/>
    <x v="1"/>
    <x v="186"/>
    <d v="2024-09-09T00:00:00"/>
    <x v="5"/>
    <x v="35"/>
    <n v="7181.24"/>
    <x v="1"/>
    <x v="0"/>
    <n v="3"/>
    <x v="0"/>
    <x v="21"/>
    <n v="2024"/>
  </r>
  <r>
    <x v="888"/>
    <s v="Donna Martin"/>
    <x v="38"/>
    <x v="1"/>
    <x v="508"/>
    <d v="2025-11-26T00:00:00"/>
    <x v="5"/>
    <x v="12"/>
    <n v="12719.1"/>
    <x v="1"/>
    <x v="1"/>
    <n v="10"/>
    <x v="0"/>
    <x v="7"/>
    <n v="2025"/>
  </r>
  <r>
    <x v="889"/>
    <s v="Sarah Walker"/>
    <x v="60"/>
    <x v="1"/>
    <x v="396"/>
    <d v="2024-07-21T00:00:00"/>
    <x v="2"/>
    <x v="10"/>
    <n v="3960.59"/>
    <x v="5"/>
    <x v="2"/>
    <n v="5"/>
    <x v="2"/>
    <x v="0"/>
    <n v="2024"/>
  </r>
  <r>
    <x v="890"/>
    <s v="Kevin Hernandez"/>
    <x v="32"/>
    <x v="0"/>
    <x v="509"/>
    <d v="2025-06-06T00:00:00"/>
    <x v="4"/>
    <x v="26"/>
    <n v="32658.41"/>
    <x v="6"/>
    <x v="0"/>
    <n v="13"/>
    <x v="1"/>
    <x v="13"/>
    <n v="2025"/>
  </r>
  <r>
    <x v="891"/>
    <s v="Matthew Miller"/>
    <x v="5"/>
    <x v="0"/>
    <x v="361"/>
    <d v="2025-01-07T00:00:00"/>
    <x v="1"/>
    <x v="31"/>
    <n v="4283.7"/>
    <x v="5"/>
    <x v="2"/>
    <n v="3"/>
    <x v="0"/>
    <x v="17"/>
    <n v="2025"/>
  </r>
  <r>
    <x v="892"/>
    <s v="David Clark"/>
    <x v="24"/>
    <x v="0"/>
    <x v="127"/>
    <d v="2024-07-10T00:00:00"/>
    <x v="4"/>
    <x v="14"/>
    <n v="5291.81"/>
    <x v="4"/>
    <x v="0"/>
    <n v="2"/>
    <x v="0"/>
    <x v="0"/>
    <n v="2024"/>
  </r>
  <r>
    <x v="893"/>
    <s v="Elizabeth Miller"/>
    <x v="64"/>
    <x v="1"/>
    <x v="510"/>
    <d v="2024-12-03T00:00:00"/>
    <x v="2"/>
    <x v="5"/>
    <n v="3170.27"/>
    <x v="3"/>
    <x v="0"/>
    <n v="6"/>
    <x v="1"/>
    <x v="4"/>
    <n v="2024"/>
  </r>
  <r>
    <x v="894"/>
    <s v="Brian Thomas"/>
    <x v="29"/>
    <x v="0"/>
    <x v="511"/>
    <d v="2024-08-21T00:00:00"/>
    <x v="2"/>
    <x v="21"/>
    <n v="6978.9"/>
    <x v="3"/>
    <x v="1"/>
    <n v="7"/>
    <x v="2"/>
    <x v="8"/>
    <n v="2024"/>
  </r>
  <r>
    <x v="895"/>
    <s v="Sandra Lewis"/>
    <x v="39"/>
    <x v="1"/>
    <x v="307"/>
    <d v="2024-08-29T00:00:00"/>
    <x v="2"/>
    <x v="16"/>
    <n v="4868.46"/>
    <x v="1"/>
    <x v="0"/>
    <n v="6"/>
    <x v="0"/>
    <x v="8"/>
    <n v="2024"/>
  </r>
  <r>
    <x v="896"/>
    <s v="Mark Martinez"/>
    <x v="23"/>
    <x v="0"/>
    <x v="257"/>
    <d v="2025-07-09T00:00:00"/>
    <x v="4"/>
    <x v="11"/>
    <n v="34197.050000000003"/>
    <x v="1"/>
    <x v="0"/>
    <n v="14"/>
    <x v="0"/>
    <x v="19"/>
    <n v="2025"/>
  </r>
  <r>
    <x v="897"/>
    <s v="Barbara Johnson"/>
    <x v="34"/>
    <x v="1"/>
    <x v="6"/>
    <d v="2024-02-10T00:00:00"/>
    <x v="2"/>
    <x v="21"/>
    <n v="647.75"/>
    <x v="1"/>
    <x v="0"/>
    <n v="1"/>
    <x v="0"/>
    <x v="5"/>
    <n v="2024"/>
  </r>
  <r>
    <x v="898"/>
    <s v="Jessica Williams"/>
    <x v="45"/>
    <x v="1"/>
    <x v="512"/>
    <d v="2024-06-23T00:00:00"/>
    <x v="3"/>
    <x v="24"/>
    <n v="3913.66"/>
    <x v="3"/>
    <x v="1"/>
    <n v="5"/>
    <x v="4"/>
    <x v="16"/>
    <n v="2024"/>
  </r>
  <r>
    <x v="899"/>
    <s v="Christopher Perez"/>
    <x v="71"/>
    <x v="0"/>
    <x v="156"/>
    <d v="2025-03-06T00:00:00"/>
    <x v="3"/>
    <x v="23"/>
    <n v="8364.6200000000008"/>
    <x v="6"/>
    <x v="0"/>
    <n v="5"/>
    <x v="4"/>
    <x v="1"/>
    <n v="2025"/>
  </r>
  <r>
    <x v="900"/>
    <s v="Betty Lewis"/>
    <x v="71"/>
    <x v="1"/>
    <x v="513"/>
    <d v="2025-12-01T00:00:00"/>
    <x v="3"/>
    <x v="24"/>
    <n v="750.94"/>
    <x v="0"/>
    <x v="1"/>
    <n v="1"/>
    <x v="4"/>
    <x v="7"/>
    <n v="2025"/>
  </r>
  <r>
    <x v="901"/>
    <s v="Nancy Clark"/>
    <x v="7"/>
    <x v="1"/>
    <x v="514"/>
    <d v="2025-09-16T00:00:00"/>
    <x v="1"/>
    <x v="31"/>
    <n v="1602.23"/>
    <x v="3"/>
    <x v="0"/>
    <n v="1"/>
    <x v="2"/>
    <x v="20"/>
    <n v="2025"/>
  </r>
  <r>
    <x v="902"/>
    <s v="Richard Lee"/>
    <x v="82"/>
    <x v="0"/>
    <x v="242"/>
    <d v="2025-12-31T00:00:00"/>
    <x v="4"/>
    <x v="14"/>
    <n v="3905.3"/>
    <x v="1"/>
    <x v="1"/>
    <n v="3"/>
    <x v="2"/>
    <x v="9"/>
    <n v="2025"/>
  </r>
  <r>
    <x v="903"/>
    <s v="Anthony Garcia"/>
    <x v="70"/>
    <x v="0"/>
    <x v="198"/>
    <d v="2025-03-04T00:00:00"/>
    <x v="0"/>
    <x v="6"/>
    <n v="10882.46"/>
    <x v="2"/>
    <x v="2"/>
    <n v="4"/>
    <x v="0"/>
    <x v="10"/>
    <n v="2025"/>
  </r>
  <r>
    <x v="904"/>
    <s v="Karen Brown"/>
    <x v="11"/>
    <x v="1"/>
    <x v="467"/>
    <d v="2025-12-05T00:00:00"/>
    <x v="2"/>
    <x v="10"/>
    <n v="3645.87"/>
    <x v="5"/>
    <x v="1"/>
    <n v="4"/>
    <x v="3"/>
    <x v="9"/>
    <n v="2025"/>
  </r>
  <r>
    <x v="905"/>
    <s v="Emily Perez"/>
    <x v="11"/>
    <x v="1"/>
    <x v="128"/>
    <d v="2025-04-13T00:00:00"/>
    <x v="2"/>
    <x v="33"/>
    <n v="5871.8"/>
    <x v="3"/>
    <x v="2"/>
    <n v="6"/>
    <x v="3"/>
    <x v="18"/>
    <n v="2025"/>
  </r>
  <r>
    <x v="906"/>
    <s v="Barbara Smith"/>
    <x v="51"/>
    <x v="1"/>
    <x v="89"/>
    <d v="2024-02-07T00:00:00"/>
    <x v="2"/>
    <x v="21"/>
    <n v="2527.5100000000002"/>
    <x v="0"/>
    <x v="1"/>
    <n v="3"/>
    <x v="2"/>
    <x v="5"/>
    <n v="2024"/>
  </r>
  <r>
    <x v="907"/>
    <s v="Lisa Brown"/>
    <x v="11"/>
    <x v="1"/>
    <x v="511"/>
    <d v="2024-08-20T00:00:00"/>
    <x v="0"/>
    <x v="0"/>
    <n v="11311.32"/>
    <x v="6"/>
    <x v="1"/>
    <n v="6"/>
    <x v="3"/>
    <x v="8"/>
    <n v="2024"/>
  </r>
  <r>
    <x v="908"/>
    <s v="Brian White"/>
    <x v="17"/>
    <x v="0"/>
    <x v="251"/>
    <d v="2024-06-10T00:00:00"/>
    <x v="4"/>
    <x v="26"/>
    <n v="14294.04"/>
    <x v="1"/>
    <x v="0"/>
    <n v="6"/>
    <x v="3"/>
    <x v="16"/>
    <n v="2024"/>
  </r>
  <r>
    <x v="909"/>
    <s v="Nancy White"/>
    <x v="56"/>
    <x v="1"/>
    <x v="155"/>
    <d v="2025-06-25T00:00:00"/>
    <x v="3"/>
    <x v="23"/>
    <n v="3325.48"/>
    <x v="0"/>
    <x v="0"/>
    <n v="2"/>
    <x v="4"/>
    <x v="19"/>
    <n v="2025"/>
  </r>
  <r>
    <x v="910"/>
    <s v="Brian White"/>
    <x v="62"/>
    <x v="0"/>
    <x v="515"/>
    <d v="2025-12-21T00:00:00"/>
    <x v="2"/>
    <x v="8"/>
    <n v="583.35"/>
    <x v="4"/>
    <x v="2"/>
    <n v="1"/>
    <x v="1"/>
    <x v="9"/>
    <n v="2025"/>
  </r>
  <r>
    <x v="911"/>
    <s v="Matthew Ramirez"/>
    <x v="36"/>
    <x v="0"/>
    <x v="516"/>
    <d v="2024-02-06T00:00:00"/>
    <x v="2"/>
    <x v="33"/>
    <n v="6644.98"/>
    <x v="3"/>
    <x v="0"/>
    <n v="6"/>
    <x v="0"/>
    <x v="23"/>
    <n v="2024"/>
  </r>
  <r>
    <x v="912"/>
    <s v="Kevin Miller"/>
    <x v="66"/>
    <x v="0"/>
    <x v="312"/>
    <d v="2025-07-06T00:00:00"/>
    <x v="4"/>
    <x v="11"/>
    <n v="6709.11"/>
    <x v="1"/>
    <x v="2"/>
    <n v="4"/>
    <x v="1"/>
    <x v="22"/>
    <n v="2025"/>
  </r>
  <r>
    <x v="913"/>
    <s v="Kenneth Rodriguez"/>
    <x v="29"/>
    <x v="0"/>
    <x v="291"/>
    <d v="2024-04-07T00:00:00"/>
    <x v="5"/>
    <x v="28"/>
    <n v="7216.27"/>
    <x v="1"/>
    <x v="1"/>
    <n v="4"/>
    <x v="2"/>
    <x v="2"/>
    <n v="2024"/>
  </r>
  <r>
    <x v="914"/>
    <s v="Matthew Young"/>
    <x v="61"/>
    <x v="0"/>
    <x v="34"/>
    <d v="2025-03-30T00:00:00"/>
    <x v="5"/>
    <x v="34"/>
    <n v="13906.96"/>
    <x v="1"/>
    <x v="0"/>
    <n v="9"/>
    <x v="3"/>
    <x v="1"/>
    <n v="2025"/>
  </r>
  <r>
    <x v="915"/>
    <s v="Thomas Lopez"/>
    <x v="54"/>
    <x v="0"/>
    <x v="35"/>
    <d v="2025-08-19T00:00:00"/>
    <x v="4"/>
    <x v="18"/>
    <n v="19370.95"/>
    <x v="5"/>
    <x v="1"/>
    <n v="10"/>
    <x v="1"/>
    <x v="6"/>
    <n v="2025"/>
  </r>
  <r>
    <x v="916"/>
    <s v="Ashley Johnson"/>
    <x v="18"/>
    <x v="1"/>
    <x v="487"/>
    <d v="2024-06-16T00:00:00"/>
    <x v="2"/>
    <x v="10"/>
    <n v="4618.17"/>
    <x v="4"/>
    <x v="2"/>
    <n v="7"/>
    <x v="3"/>
    <x v="16"/>
    <n v="2024"/>
  </r>
  <r>
    <x v="917"/>
    <s v="Brian Clark"/>
    <x v="17"/>
    <x v="0"/>
    <x v="361"/>
    <d v="2025-01-07T00:00:00"/>
    <x v="2"/>
    <x v="10"/>
    <n v="4249.75"/>
    <x v="5"/>
    <x v="2"/>
    <n v="3"/>
    <x v="3"/>
    <x v="17"/>
    <n v="2025"/>
  </r>
  <r>
    <x v="918"/>
    <s v="Daniel Perez"/>
    <x v="34"/>
    <x v="0"/>
    <x v="294"/>
    <d v="2024-01-06T00:00:00"/>
    <x v="0"/>
    <x v="0"/>
    <n v="6532.53"/>
    <x v="1"/>
    <x v="2"/>
    <n v="4"/>
    <x v="0"/>
    <x v="23"/>
    <n v="2024"/>
  </r>
  <r>
    <x v="919"/>
    <s v="Michelle Rodriguez"/>
    <x v="34"/>
    <x v="1"/>
    <x v="463"/>
    <d v="2024-12-07T00:00:00"/>
    <x v="5"/>
    <x v="35"/>
    <n v="5729.57"/>
    <x v="0"/>
    <x v="0"/>
    <n v="5"/>
    <x v="0"/>
    <x v="12"/>
    <n v="2024"/>
  </r>
  <r>
    <x v="920"/>
    <s v="Nancy Lee"/>
    <x v="7"/>
    <x v="1"/>
    <x v="517"/>
    <d v="2025-06-07T00:00:00"/>
    <x v="2"/>
    <x v="16"/>
    <n v="2997.87"/>
    <x v="5"/>
    <x v="0"/>
    <n v="2"/>
    <x v="2"/>
    <x v="19"/>
    <n v="2025"/>
  </r>
  <r>
    <x v="921"/>
    <s v="Thomas Williams"/>
    <x v="36"/>
    <x v="0"/>
    <x v="85"/>
    <d v="2024-11-04T00:00:00"/>
    <x v="2"/>
    <x v="10"/>
    <n v="7526.27"/>
    <x v="1"/>
    <x v="0"/>
    <n v="6"/>
    <x v="0"/>
    <x v="3"/>
    <n v="2024"/>
  </r>
  <r>
    <x v="922"/>
    <s v="Emily Harris"/>
    <x v="3"/>
    <x v="1"/>
    <x v="105"/>
    <d v="2024-06-19T00:00:00"/>
    <x v="1"/>
    <x v="2"/>
    <n v="4378.0200000000004"/>
    <x v="1"/>
    <x v="0"/>
    <n v="2"/>
    <x v="2"/>
    <x v="16"/>
    <n v="2024"/>
  </r>
  <r>
    <x v="923"/>
    <s v="Linda Smith"/>
    <x v="19"/>
    <x v="1"/>
    <x v="301"/>
    <d v="2024-10-25T00:00:00"/>
    <x v="4"/>
    <x v="27"/>
    <n v="17866.580000000002"/>
    <x v="3"/>
    <x v="2"/>
    <n v="8"/>
    <x v="3"/>
    <x v="3"/>
    <n v="2024"/>
  </r>
  <r>
    <x v="924"/>
    <s v="Michael White"/>
    <x v="25"/>
    <x v="0"/>
    <x v="518"/>
    <d v="2025-03-22T00:00:00"/>
    <x v="0"/>
    <x v="20"/>
    <n v="5517.67"/>
    <x v="3"/>
    <x v="0"/>
    <n v="4"/>
    <x v="1"/>
    <x v="1"/>
    <n v="2025"/>
  </r>
  <r>
    <x v="925"/>
    <s v="Lisa Williams"/>
    <x v="47"/>
    <x v="1"/>
    <x v="480"/>
    <d v="2024-10-12T00:00:00"/>
    <x v="5"/>
    <x v="30"/>
    <n v="14595.77"/>
    <x v="1"/>
    <x v="0"/>
    <n v="7"/>
    <x v="3"/>
    <x v="3"/>
    <n v="2024"/>
  </r>
  <r>
    <x v="926"/>
    <s v="Daniel Ramirez"/>
    <x v="18"/>
    <x v="0"/>
    <x v="175"/>
    <d v="2024-12-01T00:00:00"/>
    <x v="2"/>
    <x v="8"/>
    <n v="543.05999999999995"/>
    <x v="4"/>
    <x v="0"/>
    <n v="1"/>
    <x v="3"/>
    <x v="4"/>
    <n v="2024"/>
  </r>
  <r>
    <x v="927"/>
    <s v="Linda Hernandez"/>
    <x v="77"/>
    <x v="1"/>
    <x v="469"/>
    <d v="2024-01-30T00:00:00"/>
    <x v="4"/>
    <x v="13"/>
    <n v="5082.0600000000004"/>
    <x v="2"/>
    <x v="1"/>
    <n v="5"/>
    <x v="2"/>
    <x v="23"/>
    <n v="2024"/>
  </r>
  <r>
    <x v="928"/>
    <s v="Joshua Jackson"/>
    <x v="15"/>
    <x v="0"/>
    <x v="331"/>
    <d v="2025-07-10T00:00:00"/>
    <x v="1"/>
    <x v="31"/>
    <n v="2871.13"/>
    <x v="3"/>
    <x v="0"/>
    <n v="2"/>
    <x v="3"/>
    <x v="22"/>
    <n v="2025"/>
  </r>
  <r>
    <x v="929"/>
    <s v="Sandra Anderson"/>
    <x v="13"/>
    <x v="1"/>
    <x v="38"/>
    <d v="2024-12-19T00:00:00"/>
    <x v="4"/>
    <x v="18"/>
    <n v="4425.1499999999996"/>
    <x v="5"/>
    <x v="0"/>
    <n v="2"/>
    <x v="1"/>
    <x v="12"/>
    <n v="2024"/>
  </r>
  <r>
    <x v="930"/>
    <s v="Jennifer Walker"/>
    <x v="57"/>
    <x v="1"/>
    <x v="361"/>
    <d v="2025-01-05T00:00:00"/>
    <x v="1"/>
    <x v="7"/>
    <n v="1958.56"/>
    <x v="1"/>
    <x v="0"/>
    <n v="1"/>
    <x v="2"/>
    <x v="17"/>
    <n v="2025"/>
  </r>
  <r>
    <x v="931"/>
    <s v="Mark Johnson"/>
    <x v="54"/>
    <x v="0"/>
    <x v="262"/>
    <d v="2025-04-22T00:00:00"/>
    <x v="2"/>
    <x v="8"/>
    <n v="2268.81"/>
    <x v="1"/>
    <x v="0"/>
    <n v="2"/>
    <x v="1"/>
    <x v="18"/>
    <n v="2025"/>
  </r>
  <r>
    <x v="932"/>
    <s v="James Jones"/>
    <x v="63"/>
    <x v="0"/>
    <x v="82"/>
    <d v="2025-09-04T00:00:00"/>
    <x v="5"/>
    <x v="12"/>
    <n v="22621.47"/>
    <x v="5"/>
    <x v="2"/>
    <n v="9"/>
    <x v="3"/>
    <x v="6"/>
    <n v="2025"/>
  </r>
  <r>
    <x v="933"/>
    <s v="Mary Young"/>
    <x v="6"/>
    <x v="1"/>
    <x v="190"/>
    <d v="2025-11-20T00:00:00"/>
    <x v="4"/>
    <x v="14"/>
    <n v="3972.12"/>
    <x v="4"/>
    <x v="1"/>
    <n v="3"/>
    <x v="3"/>
    <x v="7"/>
    <n v="2025"/>
  </r>
  <r>
    <x v="934"/>
    <s v="Susan Brown"/>
    <x v="43"/>
    <x v="1"/>
    <x v="130"/>
    <d v="2024-05-03T00:00:00"/>
    <x v="3"/>
    <x v="9"/>
    <n v="921.67"/>
    <x v="6"/>
    <x v="0"/>
    <n v="1"/>
    <x v="4"/>
    <x v="11"/>
    <n v="2024"/>
  </r>
  <r>
    <x v="935"/>
    <s v="Elizabeth Rodriguez"/>
    <x v="47"/>
    <x v="1"/>
    <x v="519"/>
    <d v="2024-08-01T00:00:00"/>
    <x v="1"/>
    <x v="15"/>
    <n v="3783.41"/>
    <x v="5"/>
    <x v="1"/>
    <n v="2"/>
    <x v="3"/>
    <x v="0"/>
    <n v="2024"/>
  </r>
  <r>
    <x v="936"/>
    <s v="David Anderson"/>
    <x v="49"/>
    <x v="0"/>
    <x v="61"/>
    <d v="2025-01-27T00:00:00"/>
    <x v="1"/>
    <x v="31"/>
    <n v="3007.82"/>
    <x v="0"/>
    <x v="1"/>
    <n v="3"/>
    <x v="2"/>
    <x v="17"/>
    <n v="2025"/>
  </r>
  <r>
    <x v="937"/>
    <s v="Michael Jones"/>
    <x v="72"/>
    <x v="0"/>
    <x v="520"/>
    <d v="2025-03-22T00:00:00"/>
    <x v="3"/>
    <x v="37"/>
    <n v="6547.21"/>
    <x v="1"/>
    <x v="2"/>
    <n v="5"/>
    <x v="4"/>
    <x v="1"/>
    <n v="2025"/>
  </r>
  <r>
    <x v="938"/>
    <s v="Richard Wilson"/>
    <x v="25"/>
    <x v="0"/>
    <x v="164"/>
    <d v="2025-08-28T00:00:00"/>
    <x v="5"/>
    <x v="30"/>
    <n v="6760.22"/>
    <x v="3"/>
    <x v="0"/>
    <n v="6"/>
    <x v="1"/>
    <x v="6"/>
    <n v="2025"/>
  </r>
  <r>
    <x v="939"/>
    <s v="Robert Perez"/>
    <x v="47"/>
    <x v="0"/>
    <x v="288"/>
    <d v="2025-04-24T00:00:00"/>
    <x v="2"/>
    <x v="16"/>
    <n v="3865.55"/>
    <x v="1"/>
    <x v="0"/>
    <n v="3"/>
    <x v="3"/>
    <x v="18"/>
    <n v="2025"/>
  </r>
  <r>
    <x v="940"/>
    <s v="Steven Young"/>
    <x v="42"/>
    <x v="0"/>
    <x v="484"/>
    <d v="2024-04-07T00:00:00"/>
    <x v="2"/>
    <x v="10"/>
    <n v="5921.38"/>
    <x v="5"/>
    <x v="0"/>
    <n v="6"/>
    <x v="3"/>
    <x v="2"/>
    <n v="2024"/>
  </r>
  <r>
    <x v="941"/>
    <s v="Christopher Lewis"/>
    <x v="51"/>
    <x v="0"/>
    <x v="8"/>
    <d v="2024-11-20T00:00:00"/>
    <x v="4"/>
    <x v="18"/>
    <n v="11299.89"/>
    <x v="6"/>
    <x v="1"/>
    <n v="9"/>
    <x v="2"/>
    <x v="4"/>
    <n v="2024"/>
  </r>
  <r>
    <x v="942"/>
    <s v="Barbara Jackson"/>
    <x v="56"/>
    <x v="1"/>
    <x v="90"/>
    <d v="2024-04-14T00:00:00"/>
    <x v="3"/>
    <x v="23"/>
    <n v="4061.69"/>
    <x v="0"/>
    <x v="0"/>
    <n v="4"/>
    <x v="4"/>
    <x v="2"/>
    <n v="2024"/>
  </r>
  <r>
    <x v="943"/>
    <s v="Ashley White"/>
    <x v="65"/>
    <x v="1"/>
    <x v="249"/>
    <d v="2024-08-16T00:00:00"/>
    <x v="3"/>
    <x v="23"/>
    <n v="1243.02"/>
    <x v="1"/>
    <x v="0"/>
    <n v="1"/>
    <x v="4"/>
    <x v="8"/>
    <n v="2024"/>
  </r>
  <r>
    <x v="944"/>
    <s v="Andrew Ramirez"/>
    <x v="14"/>
    <x v="0"/>
    <x v="283"/>
    <d v="2024-11-03T00:00:00"/>
    <x v="4"/>
    <x v="18"/>
    <n v="18613.240000000002"/>
    <x v="1"/>
    <x v="0"/>
    <n v="7"/>
    <x v="1"/>
    <x v="3"/>
    <n v="2024"/>
  </r>
  <r>
    <x v="945"/>
    <s v="Betty Robinson"/>
    <x v="49"/>
    <x v="1"/>
    <x v="521"/>
    <d v="2024-08-25T00:00:00"/>
    <x v="5"/>
    <x v="12"/>
    <n v="4541.45"/>
    <x v="0"/>
    <x v="0"/>
    <n v="3"/>
    <x v="2"/>
    <x v="8"/>
    <n v="2024"/>
  </r>
  <r>
    <x v="946"/>
    <s v="Kevin Harris"/>
    <x v="4"/>
    <x v="0"/>
    <x v="10"/>
    <d v="2025-11-11T00:00:00"/>
    <x v="0"/>
    <x v="1"/>
    <n v="14897.36"/>
    <x v="6"/>
    <x v="0"/>
    <n v="5"/>
    <x v="1"/>
    <x v="7"/>
    <n v="2025"/>
  </r>
  <r>
    <x v="947"/>
    <s v="Kenneth Lewis"/>
    <x v="34"/>
    <x v="0"/>
    <x v="329"/>
    <d v="2025-04-19T00:00:00"/>
    <x v="4"/>
    <x v="18"/>
    <n v="5557.59"/>
    <x v="5"/>
    <x v="2"/>
    <n v="5"/>
    <x v="0"/>
    <x v="18"/>
    <n v="2025"/>
  </r>
  <r>
    <x v="948"/>
    <s v="Carol Jones"/>
    <x v="8"/>
    <x v="1"/>
    <x v="6"/>
    <d v="2024-02-15T00:00:00"/>
    <x v="0"/>
    <x v="29"/>
    <n v="14526.47"/>
    <x v="3"/>
    <x v="0"/>
    <n v="6"/>
    <x v="0"/>
    <x v="5"/>
    <n v="2024"/>
  </r>
  <r>
    <x v="949"/>
    <s v="Lisa Lopez"/>
    <x v="79"/>
    <x v="1"/>
    <x v="477"/>
    <d v="2025-11-07T00:00:00"/>
    <x v="2"/>
    <x v="33"/>
    <n v="6592.81"/>
    <x v="1"/>
    <x v="1"/>
    <n v="7"/>
    <x v="2"/>
    <x v="14"/>
    <n v="2025"/>
  </r>
  <r>
    <x v="950"/>
    <s v="Elizabeth Johnson"/>
    <x v="61"/>
    <x v="1"/>
    <x v="356"/>
    <d v="2024-11-06T00:00:00"/>
    <x v="2"/>
    <x v="21"/>
    <n v="5811.71"/>
    <x v="1"/>
    <x v="0"/>
    <n v="4"/>
    <x v="3"/>
    <x v="4"/>
    <n v="2024"/>
  </r>
  <r>
    <x v="951"/>
    <s v="Barbara Harris"/>
    <x v="67"/>
    <x v="1"/>
    <x v="234"/>
    <d v="2024-07-20T00:00:00"/>
    <x v="4"/>
    <x v="27"/>
    <n v="15420.8"/>
    <x v="0"/>
    <x v="2"/>
    <n v="7"/>
    <x v="1"/>
    <x v="0"/>
    <n v="2024"/>
  </r>
  <r>
    <x v="952"/>
    <s v="Nancy Jones"/>
    <x v="49"/>
    <x v="1"/>
    <x v="383"/>
    <d v="2024-02-16T00:00:00"/>
    <x v="4"/>
    <x v="13"/>
    <n v="28706.36"/>
    <x v="1"/>
    <x v="0"/>
    <n v="11"/>
    <x v="2"/>
    <x v="5"/>
    <n v="2024"/>
  </r>
  <r>
    <x v="953"/>
    <s v="Sandra Thompson"/>
    <x v="58"/>
    <x v="1"/>
    <x v="522"/>
    <d v="2024-06-25T00:00:00"/>
    <x v="0"/>
    <x v="0"/>
    <n v="10923.17"/>
    <x v="3"/>
    <x v="1"/>
    <n v="6"/>
    <x v="1"/>
    <x v="16"/>
    <n v="2024"/>
  </r>
  <r>
    <x v="954"/>
    <s v="Jennifer Clark"/>
    <x v="24"/>
    <x v="1"/>
    <x v="523"/>
    <d v="2025-02-17T00:00:00"/>
    <x v="5"/>
    <x v="28"/>
    <n v="20558.88"/>
    <x v="3"/>
    <x v="0"/>
    <n v="9"/>
    <x v="0"/>
    <x v="10"/>
    <n v="2025"/>
  </r>
  <r>
    <x v="955"/>
    <s v="Kenneth Wilson"/>
    <x v="63"/>
    <x v="0"/>
    <x v="524"/>
    <d v="2025-11-28T00:00:00"/>
    <x v="2"/>
    <x v="5"/>
    <n v="759.83"/>
    <x v="5"/>
    <x v="0"/>
    <n v="1"/>
    <x v="3"/>
    <x v="7"/>
    <n v="2025"/>
  </r>
  <r>
    <x v="956"/>
    <s v="Sandra Anderson"/>
    <x v="29"/>
    <x v="1"/>
    <x v="152"/>
    <d v="2025-02-11T00:00:00"/>
    <x v="1"/>
    <x v="15"/>
    <n v="2012.29"/>
    <x v="5"/>
    <x v="0"/>
    <n v="2"/>
    <x v="2"/>
    <x v="10"/>
    <n v="2025"/>
  </r>
  <r>
    <x v="957"/>
    <s v="Paul Walker"/>
    <x v="53"/>
    <x v="0"/>
    <x v="507"/>
    <d v="2024-06-13T00:00:00"/>
    <x v="4"/>
    <x v="11"/>
    <n v="16229.56"/>
    <x v="3"/>
    <x v="0"/>
    <n v="6"/>
    <x v="3"/>
    <x v="16"/>
    <n v="2024"/>
  </r>
  <r>
    <x v="958"/>
    <s v="Joseph Jackson"/>
    <x v="24"/>
    <x v="0"/>
    <x v="377"/>
    <d v="2024-01-19T00:00:00"/>
    <x v="2"/>
    <x v="5"/>
    <n v="8478.0300000000007"/>
    <x v="5"/>
    <x v="2"/>
    <n v="6"/>
    <x v="0"/>
    <x v="23"/>
    <n v="2024"/>
  </r>
  <r>
    <x v="959"/>
    <s v="Michelle Robinson"/>
    <x v="23"/>
    <x v="1"/>
    <x v="336"/>
    <d v="2024-07-07T00:00:00"/>
    <x v="5"/>
    <x v="28"/>
    <n v="23264.42"/>
    <x v="0"/>
    <x v="0"/>
    <n v="10"/>
    <x v="0"/>
    <x v="16"/>
    <n v="2024"/>
  </r>
  <r>
    <x v="960"/>
    <s v="Betty Garcia"/>
    <x v="2"/>
    <x v="1"/>
    <x v="400"/>
    <d v="2025-01-01T00:00:00"/>
    <x v="2"/>
    <x v="10"/>
    <n v="4983.18"/>
    <x v="1"/>
    <x v="2"/>
    <n v="4"/>
    <x v="1"/>
    <x v="12"/>
    <n v="2024"/>
  </r>
  <r>
    <x v="961"/>
    <s v="Jennifer Martin"/>
    <x v="44"/>
    <x v="1"/>
    <x v="525"/>
    <d v="2025-03-25T00:00:00"/>
    <x v="2"/>
    <x v="10"/>
    <n v="7613.41"/>
    <x v="3"/>
    <x v="0"/>
    <n v="6"/>
    <x v="3"/>
    <x v="1"/>
    <n v="2025"/>
  </r>
  <r>
    <x v="962"/>
    <s v="William Jones"/>
    <x v="35"/>
    <x v="0"/>
    <x v="2"/>
    <d v="2024-04-06T00:00:00"/>
    <x v="1"/>
    <x v="32"/>
    <n v="2431.81"/>
    <x v="1"/>
    <x v="0"/>
    <n v="1"/>
    <x v="3"/>
    <x v="2"/>
    <n v="2024"/>
  </r>
  <r>
    <x v="963"/>
    <s v="Mary Jackson"/>
    <x v="28"/>
    <x v="1"/>
    <x v="107"/>
    <d v="2024-07-07T00:00:00"/>
    <x v="2"/>
    <x v="33"/>
    <n v="1073.8900000000001"/>
    <x v="5"/>
    <x v="1"/>
    <n v="2"/>
    <x v="0"/>
    <x v="0"/>
    <n v="2024"/>
  </r>
  <r>
    <x v="964"/>
    <s v="Emily Ramirez"/>
    <x v="14"/>
    <x v="1"/>
    <x v="169"/>
    <d v="2025-04-01T00:00:00"/>
    <x v="0"/>
    <x v="19"/>
    <n v="19302.61"/>
    <x v="6"/>
    <x v="2"/>
    <n v="10"/>
    <x v="1"/>
    <x v="1"/>
    <n v="2025"/>
  </r>
  <r>
    <x v="965"/>
    <s v="Kimberly Anderson"/>
    <x v="54"/>
    <x v="1"/>
    <x v="351"/>
    <d v="2025-05-20T00:00:00"/>
    <x v="2"/>
    <x v="21"/>
    <n v="4686.18"/>
    <x v="6"/>
    <x v="0"/>
    <n v="6"/>
    <x v="1"/>
    <x v="13"/>
    <n v="2025"/>
  </r>
  <r>
    <x v="966"/>
    <s v="Karen Martin"/>
    <x v="9"/>
    <x v="1"/>
    <x v="394"/>
    <d v="2025-09-26T00:00:00"/>
    <x v="3"/>
    <x v="37"/>
    <n v="3301.8"/>
    <x v="5"/>
    <x v="2"/>
    <n v="3"/>
    <x v="4"/>
    <x v="20"/>
    <n v="2025"/>
  </r>
  <r>
    <x v="967"/>
    <s v="Jessica Hernandez"/>
    <x v="0"/>
    <x v="1"/>
    <x v="369"/>
    <d v="2024-11-03T00:00:00"/>
    <x v="4"/>
    <x v="11"/>
    <n v="5980.45"/>
    <x v="6"/>
    <x v="0"/>
    <n v="3"/>
    <x v="0"/>
    <x v="3"/>
    <n v="2024"/>
  </r>
  <r>
    <x v="968"/>
    <s v="Donna Thomas"/>
    <x v="51"/>
    <x v="1"/>
    <x v="359"/>
    <d v="2025-10-06T00:00:00"/>
    <x v="2"/>
    <x v="10"/>
    <n v="5054.45"/>
    <x v="0"/>
    <x v="1"/>
    <n v="4"/>
    <x v="2"/>
    <x v="14"/>
    <n v="2025"/>
  </r>
  <r>
    <x v="969"/>
    <s v="Thomas Brown"/>
    <x v="24"/>
    <x v="0"/>
    <x v="526"/>
    <d v="2025-08-09T00:00:00"/>
    <x v="1"/>
    <x v="31"/>
    <n v="3102.51"/>
    <x v="3"/>
    <x v="0"/>
    <n v="2"/>
    <x v="0"/>
    <x v="6"/>
    <n v="2025"/>
  </r>
  <r>
    <x v="970"/>
    <s v="Joshua Taylor"/>
    <x v="21"/>
    <x v="0"/>
    <x v="93"/>
    <d v="2025-01-19T00:00:00"/>
    <x v="4"/>
    <x v="18"/>
    <n v="7068.71"/>
    <x v="5"/>
    <x v="2"/>
    <n v="7"/>
    <x v="1"/>
    <x v="17"/>
    <n v="2025"/>
  </r>
  <r>
    <x v="971"/>
    <s v="James Garcia"/>
    <x v="8"/>
    <x v="0"/>
    <x v="316"/>
    <d v="2024-03-29T00:00:00"/>
    <x v="4"/>
    <x v="13"/>
    <n v="7018.51"/>
    <x v="1"/>
    <x v="0"/>
    <n v="4"/>
    <x v="0"/>
    <x v="15"/>
    <n v="2024"/>
  </r>
  <r>
    <x v="972"/>
    <s v="Donna Young"/>
    <x v="75"/>
    <x v="1"/>
    <x v="118"/>
    <d v="2024-11-30T00:00:00"/>
    <x v="3"/>
    <x v="23"/>
    <n v="895.4"/>
    <x v="5"/>
    <x v="1"/>
    <n v="1"/>
    <x v="4"/>
    <x v="4"/>
    <n v="2024"/>
  </r>
  <r>
    <x v="973"/>
    <s v="Linda Lewis"/>
    <x v="77"/>
    <x v="1"/>
    <x v="227"/>
    <d v="2025-07-20T00:00:00"/>
    <x v="2"/>
    <x v="8"/>
    <n v="5857.12"/>
    <x v="5"/>
    <x v="0"/>
    <n v="5"/>
    <x v="2"/>
    <x v="22"/>
    <n v="2025"/>
  </r>
  <r>
    <x v="974"/>
    <s v="Emily Walker"/>
    <x v="78"/>
    <x v="1"/>
    <x v="394"/>
    <d v="2025-09-26T00:00:00"/>
    <x v="1"/>
    <x v="15"/>
    <n v="5212.57"/>
    <x v="3"/>
    <x v="0"/>
    <n v="3"/>
    <x v="2"/>
    <x v="20"/>
    <n v="2025"/>
  </r>
  <r>
    <x v="975"/>
    <s v="Kenneth Garcia"/>
    <x v="32"/>
    <x v="0"/>
    <x v="400"/>
    <d v="2025-01-04T00:00:00"/>
    <x v="0"/>
    <x v="29"/>
    <n v="18256.04"/>
    <x v="5"/>
    <x v="1"/>
    <n v="7"/>
    <x v="1"/>
    <x v="12"/>
    <n v="2024"/>
  </r>
  <r>
    <x v="976"/>
    <s v="Carol Thomas"/>
    <x v="11"/>
    <x v="1"/>
    <x v="51"/>
    <d v="2025-04-14T00:00:00"/>
    <x v="0"/>
    <x v="0"/>
    <n v="22950.92"/>
    <x v="1"/>
    <x v="0"/>
    <n v="10"/>
    <x v="3"/>
    <x v="18"/>
    <n v="2025"/>
  </r>
  <r>
    <x v="977"/>
    <s v="Andrew Young"/>
    <x v="4"/>
    <x v="0"/>
    <x v="18"/>
    <d v="2024-12-30T00:00:00"/>
    <x v="2"/>
    <x v="21"/>
    <n v="9174.23"/>
    <x v="0"/>
    <x v="2"/>
    <n v="7"/>
    <x v="1"/>
    <x v="12"/>
    <n v="2024"/>
  </r>
  <r>
    <x v="978"/>
    <s v="Donna Williams"/>
    <x v="80"/>
    <x v="1"/>
    <x v="438"/>
    <d v="2025-09-03T00:00:00"/>
    <x v="2"/>
    <x v="33"/>
    <n v="2502.7600000000002"/>
    <x v="1"/>
    <x v="0"/>
    <n v="3"/>
    <x v="2"/>
    <x v="6"/>
    <n v="2025"/>
  </r>
  <r>
    <x v="979"/>
    <s v="Daniel Jackson"/>
    <x v="42"/>
    <x v="0"/>
    <x v="232"/>
    <d v="2025-10-02T00:00:00"/>
    <x v="1"/>
    <x v="31"/>
    <n v="6927.74"/>
    <x v="3"/>
    <x v="0"/>
    <n v="3"/>
    <x v="3"/>
    <x v="20"/>
    <n v="2025"/>
  </r>
  <r>
    <x v="980"/>
    <s v="Sarah Robinson"/>
    <x v="36"/>
    <x v="1"/>
    <x v="495"/>
    <d v="2024-09-09T00:00:00"/>
    <x v="2"/>
    <x v="8"/>
    <n v="4663.1899999999996"/>
    <x v="1"/>
    <x v="0"/>
    <n v="5"/>
    <x v="0"/>
    <x v="21"/>
    <n v="2024"/>
  </r>
  <r>
    <x v="981"/>
    <s v="Susan Lewis"/>
    <x v="55"/>
    <x v="1"/>
    <x v="369"/>
    <d v="2024-11-08T00:00:00"/>
    <x v="4"/>
    <x v="11"/>
    <n v="20435.29"/>
    <x v="5"/>
    <x v="2"/>
    <n v="8"/>
    <x v="0"/>
    <x v="3"/>
    <n v="2024"/>
  </r>
  <r>
    <x v="982"/>
    <s v="Mary Martin"/>
    <x v="16"/>
    <x v="1"/>
    <x v="527"/>
    <d v="2025-12-20T00:00:00"/>
    <x v="2"/>
    <x v="8"/>
    <n v="1278.31"/>
    <x v="0"/>
    <x v="1"/>
    <n v="2"/>
    <x v="1"/>
    <x v="9"/>
    <n v="2025"/>
  </r>
  <r>
    <x v="983"/>
    <s v="Richard Perez"/>
    <x v="22"/>
    <x v="0"/>
    <x v="330"/>
    <d v="2025-01-21T00:00:00"/>
    <x v="1"/>
    <x v="32"/>
    <n v="6875.52"/>
    <x v="5"/>
    <x v="0"/>
    <n v="3"/>
    <x v="3"/>
    <x v="17"/>
    <n v="2025"/>
  </r>
  <r>
    <x v="984"/>
    <s v="Elizabeth Lopez"/>
    <x v="0"/>
    <x v="1"/>
    <x v="114"/>
    <d v="2024-08-17T00:00:00"/>
    <x v="5"/>
    <x v="28"/>
    <n v="14894.02"/>
    <x v="0"/>
    <x v="0"/>
    <n v="6"/>
    <x v="0"/>
    <x v="8"/>
    <n v="2024"/>
  </r>
  <r>
    <x v="985"/>
    <s v="Sandra Lewis"/>
    <x v="55"/>
    <x v="1"/>
    <x v="528"/>
    <d v="2025-06-17T00:00:00"/>
    <x v="4"/>
    <x v="27"/>
    <n v="16185.6"/>
    <x v="6"/>
    <x v="0"/>
    <n v="8"/>
    <x v="0"/>
    <x v="19"/>
    <n v="2025"/>
  </r>
  <r>
    <x v="986"/>
    <s v="Sarah Garcia"/>
    <x v="40"/>
    <x v="1"/>
    <x v="143"/>
    <d v="2024-09-09T00:00:00"/>
    <x v="2"/>
    <x v="5"/>
    <n v="4017.98"/>
    <x v="6"/>
    <x v="0"/>
    <n v="4"/>
    <x v="0"/>
    <x v="21"/>
    <n v="2024"/>
  </r>
  <r>
    <x v="987"/>
    <s v="Dorothy Thompson"/>
    <x v="37"/>
    <x v="1"/>
    <x v="529"/>
    <d v="2025-08-26T00:00:00"/>
    <x v="3"/>
    <x v="24"/>
    <n v="1260.77"/>
    <x v="1"/>
    <x v="1"/>
    <n v="2"/>
    <x v="4"/>
    <x v="6"/>
    <n v="2025"/>
  </r>
  <r>
    <x v="988"/>
    <s v="Barbara Rodriguez"/>
    <x v="31"/>
    <x v="1"/>
    <x v="394"/>
    <d v="2025-09-25T00:00:00"/>
    <x v="3"/>
    <x v="37"/>
    <n v="2626.23"/>
    <x v="0"/>
    <x v="1"/>
    <n v="2"/>
    <x v="4"/>
    <x v="20"/>
    <n v="2025"/>
  </r>
  <r>
    <x v="989"/>
    <s v="Steven White"/>
    <x v="31"/>
    <x v="0"/>
    <x v="258"/>
    <d v="2024-07-12T00:00:00"/>
    <x v="3"/>
    <x v="22"/>
    <n v="713.28"/>
    <x v="2"/>
    <x v="2"/>
    <n v="1"/>
    <x v="4"/>
    <x v="0"/>
    <n v="2024"/>
  </r>
  <r>
    <x v="990"/>
    <s v="Dorothy Taylor"/>
    <x v="40"/>
    <x v="1"/>
    <x v="283"/>
    <d v="2024-10-31T00:00:00"/>
    <x v="2"/>
    <x v="10"/>
    <n v="5579.15"/>
    <x v="0"/>
    <x v="1"/>
    <n v="4"/>
    <x v="0"/>
    <x v="3"/>
    <n v="2024"/>
  </r>
  <r>
    <x v="991"/>
    <s v="Barbara Lee"/>
    <x v="59"/>
    <x v="1"/>
    <x v="467"/>
    <d v="2025-12-04T00:00:00"/>
    <x v="3"/>
    <x v="25"/>
    <n v="3033.99"/>
    <x v="1"/>
    <x v="0"/>
    <n v="3"/>
    <x v="4"/>
    <x v="9"/>
    <n v="2025"/>
  </r>
  <r>
    <x v="992"/>
    <s v="Thomas Miller"/>
    <x v="42"/>
    <x v="0"/>
    <x v="374"/>
    <d v="2025-11-22T00:00:00"/>
    <x v="1"/>
    <x v="2"/>
    <n v="4133.9399999999996"/>
    <x v="4"/>
    <x v="0"/>
    <n v="2"/>
    <x v="3"/>
    <x v="7"/>
    <n v="2025"/>
  </r>
  <r>
    <x v="993"/>
    <s v="Joseph Hernandez"/>
    <x v="74"/>
    <x v="0"/>
    <x v="124"/>
    <d v="2025-07-07T00:00:00"/>
    <x v="3"/>
    <x v="37"/>
    <n v="4374.76"/>
    <x v="3"/>
    <x v="2"/>
    <n v="4"/>
    <x v="4"/>
    <x v="22"/>
    <n v="2025"/>
  </r>
  <r>
    <x v="994"/>
    <s v="Kimberly Lopez"/>
    <x v="38"/>
    <x v="1"/>
    <x v="530"/>
    <d v="2024-10-06T00:00:00"/>
    <x v="0"/>
    <x v="0"/>
    <n v="7839.78"/>
    <x v="3"/>
    <x v="1"/>
    <n v="3"/>
    <x v="0"/>
    <x v="3"/>
    <n v="2024"/>
  </r>
  <r>
    <x v="995"/>
    <s v="Joshua Miller"/>
    <x v="23"/>
    <x v="0"/>
    <x v="528"/>
    <d v="2025-06-13T00:00:00"/>
    <x v="0"/>
    <x v="19"/>
    <n v="10021"/>
    <x v="3"/>
    <x v="0"/>
    <n v="4"/>
    <x v="0"/>
    <x v="19"/>
    <n v="2025"/>
  </r>
  <r>
    <x v="996"/>
    <s v="Daniel White"/>
    <x v="66"/>
    <x v="0"/>
    <x v="476"/>
    <d v="2025-10-14T00:00:00"/>
    <x v="2"/>
    <x v="33"/>
    <n v="6377.65"/>
    <x v="0"/>
    <x v="1"/>
    <n v="5"/>
    <x v="1"/>
    <x v="14"/>
    <n v="2025"/>
  </r>
  <r>
    <x v="997"/>
    <s v="Ashley Brown"/>
    <x v="29"/>
    <x v="1"/>
    <x v="531"/>
    <d v="2025-04-23T00:00:00"/>
    <x v="1"/>
    <x v="32"/>
    <n v="1020.62"/>
    <x v="0"/>
    <x v="0"/>
    <n v="1"/>
    <x v="2"/>
    <x v="18"/>
    <n v="2025"/>
  </r>
  <r>
    <x v="998"/>
    <s v="Robert Ramirez"/>
    <x v="70"/>
    <x v="0"/>
    <x v="532"/>
    <d v="2025-08-09T00:00:00"/>
    <x v="1"/>
    <x v="15"/>
    <n v="2315.06"/>
    <x v="5"/>
    <x v="0"/>
    <n v="1"/>
    <x v="0"/>
    <x v="6"/>
    <n v="2025"/>
  </r>
  <r>
    <x v="999"/>
    <s v="Jennifer Ramirez"/>
    <x v="80"/>
    <x v="1"/>
    <x v="472"/>
    <d v="2024-03-02T00:00:00"/>
    <x v="2"/>
    <x v="16"/>
    <n v="2235.16"/>
    <x v="6"/>
    <x v="2"/>
    <n v="4"/>
    <x v="2"/>
    <x v="5"/>
    <n v="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049211-40EC-458A-B128-3ECB31425B59}" name="countByDep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Departments">
  <location ref="D32:E38" firstHeaderRow="1" firstDataRow="1" firstDataCol="1"/>
  <pivotFields count="18">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1"/>
        <item x="0"/>
        <item t="default"/>
      </items>
    </pivotField>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axis="axisRow" showAll="0">
      <items count="7">
        <item x="0"/>
        <item x="1"/>
        <item x="2"/>
        <item x="5"/>
        <item x="4"/>
        <item x="3"/>
        <item t="default"/>
      </items>
    </pivotField>
    <pivotField showAll="0"/>
    <pivotField numFmtId="165" showAll="0"/>
    <pivotField numFmtId="166" showAll="0">
      <items count="8">
        <item x="2"/>
        <item x="4"/>
        <item x="0"/>
        <item x="5"/>
        <item x="1"/>
        <item x="3"/>
        <item x="6"/>
        <item t="default"/>
      </items>
    </pivotField>
    <pivotField showAll="0"/>
    <pivotField showAll="0"/>
    <pivotField showAll="0"/>
    <pivotField showAll="0">
      <items count="25">
        <item x="23"/>
        <item x="5"/>
        <item x="15"/>
        <item x="2"/>
        <item x="11"/>
        <item x="16"/>
        <item x="0"/>
        <item x="8"/>
        <item x="21"/>
        <item x="3"/>
        <item x="4"/>
        <item x="12"/>
        <item x="17"/>
        <item x="10"/>
        <item x="1"/>
        <item x="18"/>
        <item x="13"/>
        <item x="19"/>
        <item x="22"/>
        <item x="6"/>
        <item x="20"/>
        <item x="14"/>
        <item x="7"/>
        <item x="9"/>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6">
    <i>
      <x/>
    </i>
    <i>
      <x v="1"/>
    </i>
    <i>
      <x v="2"/>
    </i>
    <i>
      <x v="3"/>
    </i>
    <i>
      <x v="4"/>
    </i>
    <i>
      <x v="5"/>
    </i>
  </rowItems>
  <colItems count="1">
    <i/>
  </colItems>
  <dataFields count="1">
    <dataField name="Count of Patient ID" fld="0" subtotal="count"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8C9B48-52B4-4C57-8690-606BA1794BF1}" name="dept_"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Departments">
  <location ref="D20:E26" firstHeaderRow="1" firstDataRow="1" firstDataCol="1"/>
  <pivotFields count="18">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1"/>
        <item x="0"/>
        <item t="default"/>
      </items>
    </pivotField>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axis="axisRow" showAll="0">
      <items count="7">
        <item x="0"/>
        <item x="1"/>
        <item x="2"/>
        <item x="5"/>
        <item x="4"/>
        <item x="3"/>
        <item t="default"/>
      </items>
    </pivotField>
    <pivotField showAll="0"/>
    <pivotField dataField="1" numFmtId="165" showAll="0"/>
    <pivotField numFmtId="166" showAll="0">
      <items count="8">
        <item x="2"/>
        <item x="4"/>
        <item x="0"/>
        <item x="5"/>
        <item x="1"/>
        <item x="3"/>
        <item x="6"/>
        <item t="default"/>
      </items>
    </pivotField>
    <pivotField showAll="0"/>
    <pivotField showAll="0"/>
    <pivotField showAll="0"/>
    <pivotField showAll="0">
      <items count="25">
        <item x="23"/>
        <item x="5"/>
        <item x="15"/>
        <item x="2"/>
        <item x="11"/>
        <item x="16"/>
        <item x="0"/>
        <item x="8"/>
        <item x="21"/>
        <item x="3"/>
        <item x="4"/>
        <item x="12"/>
        <item x="17"/>
        <item x="10"/>
        <item x="1"/>
        <item x="18"/>
        <item x="13"/>
        <item x="19"/>
        <item x="22"/>
        <item x="6"/>
        <item x="20"/>
        <item x="14"/>
        <item x="7"/>
        <item x="9"/>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6">
    <i>
      <x/>
    </i>
    <i>
      <x v="1"/>
    </i>
    <i>
      <x v="2"/>
    </i>
    <i>
      <x v="3"/>
    </i>
    <i>
      <x v="4"/>
    </i>
    <i>
      <x v="5"/>
    </i>
  </rowItems>
  <colItems count="1">
    <i/>
  </colItems>
  <dataFields count="1">
    <dataField name="Sum of Total Bill Amount" fld="8" baseField="0" baseItem="0" numFmtId="165"/>
  </dataFields>
  <formats count="2">
    <format dxfId="1">
      <pivotArea collapsedLevelsAreSubtotals="1" fieldPosition="0">
        <references count="1">
          <reference field="6" count="1">
            <x v="0"/>
          </reference>
        </references>
      </pivotArea>
    </format>
    <format dxfId="0">
      <pivotArea collapsedLevelsAreSubtotals="1" fieldPosition="0">
        <references count="1">
          <reference field="6" count="5">
            <x v="1"/>
            <x v="2"/>
            <x v="3"/>
            <x v="4"/>
            <x v="5"/>
          </reference>
        </references>
      </pivotArea>
    </format>
  </formats>
  <chartFormats count="2">
    <chartFormat chart="9"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566F20-68DB-42C9-9EFE-1A5DD44486CB}" name="pay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ayment Status">
  <location ref="G9:H13" firstHeaderRow="1" firstDataRow="1" firstDataCol="1"/>
  <pivotFields count="18">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1"/>
        <item x="0"/>
        <item t="default"/>
      </items>
    </pivotField>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items count="7">
        <item x="0"/>
        <item x="1"/>
        <item x="2"/>
        <item x="5"/>
        <item x="4"/>
        <item x="3"/>
        <item t="default"/>
      </items>
    </pivotField>
    <pivotField showAll="0"/>
    <pivotField numFmtId="165" showAll="0"/>
    <pivotField numFmtId="166" showAll="0">
      <items count="8">
        <item x="2"/>
        <item x="4"/>
        <item x="0"/>
        <item x="5"/>
        <item x="1"/>
        <item x="3"/>
        <item x="6"/>
        <item t="default"/>
      </items>
    </pivotField>
    <pivotField axis="axisRow" showAll="0">
      <items count="4">
        <item x="0"/>
        <item x="2"/>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4">
    <i>
      <x/>
    </i>
    <i>
      <x v="1"/>
    </i>
    <i>
      <x v="2"/>
    </i>
    <i t="grand">
      <x/>
    </i>
  </rowItems>
  <colItems count="1">
    <i/>
  </colItems>
  <dataFields count="1">
    <dataField name="Count of Patient ID" fld="0" subtotal="count" baseField="0" baseItem="0"/>
  </dataFields>
  <chartFormats count="5">
    <chartFormat chart="2"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0" count="1" selected="0">
            <x v="0"/>
          </reference>
        </references>
      </pivotArea>
    </chartFormat>
    <chartFormat chart="6" format="7">
      <pivotArea type="data" outline="0" fieldPosition="0">
        <references count="2">
          <reference field="4294967294" count="1" selected="0">
            <x v="0"/>
          </reference>
          <reference field="10" count="1" selected="0">
            <x v="1"/>
          </reference>
        </references>
      </pivotArea>
    </chartFormat>
    <chartFormat chart="6"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5C332F-C6C1-4FC0-9E55-92FF314FFD92}" name="length"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Departments">
  <location ref="D9:E15" firstHeaderRow="1" firstDataRow="1" firstDataCol="1"/>
  <pivotFields count="18">
    <pivotField showAll="0"/>
    <pivotField showAll="0"/>
    <pivotField showAll="0"/>
    <pivotField showAll="0">
      <items count="3">
        <item x="1"/>
        <item x="0"/>
        <item t="default"/>
      </items>
    </pivotField>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axis="axisRow"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5" showAll="0"/>
    <pivotField numFmtId="166" showAll="0">
      <items count="8">
        <item x="2"/>
        <item x="4"/>
        <item x="0"/>
        <item x="5"/>
        <item x="1"/>
        <item x="3"/>
        <item x="6"/>
        <item t="default"/>
      </items>
    </pivotField>
    <pivotField showAll="0"/>
    <pivotField dataField="1" showAll="0"/>
    <pivotField showAll="0"/>
    <pivotField showAll="0">
      <items count="25">
        <item x="23"/>
        <item x="5"/>
        <item x="15"/>
        <item x="2"/>
        <item x="11"/>
        <item x="16"/>
        <item x="0"/>
        <item x="8"/>
        <item x="21"/>
        <item x="3"/>
        <item x="4"/>
        <item x="12"/>
        <item x="17"/>
        <item x="10"/>
        <item x="1"/>
        <item x="18"/>
        <item x="13"/>
        <item x="19"/>
        <item x="22"/>
        <item x="6"/>
        <item x="20"/>
        <item x="14"/>
        <item x="7"/>
        <item x="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6">
    <i>
      <x/>
    </i>
    <i>
      <x v="1"/>
    </i>
    <i>
      <x v="2"/>
    </i>
    <i>
      <x v="3"/>
    </i>
    <i>
      <x v="4"/>
    </i>
    <i>
      <x v="5"/>
    </i>
  </rowItems>
  <colItems count="1">
    <i/>
  </colItems>
  <dataFields count="1">
    <dataField name="Average of Length of Stay (Days)" fld="11" subtotal="average" baseField="6" baseItem="0"/>
  </dataFields>
  <formats count="2">
    <format dxfId="3">
      <pivotArea collapsedLevelsAreSubtotals="1" fieldPosition="0">
        <references count="1">
          <reference field="6" count="1">
            <x v="0"/>
          </reference>
        </references>
      </pivotArea>
    </format>
    <format dxfId="2">
      <pivotArea collapsedLevelsAreSubtotals="1" fieldPosition="0">
        <references count="1">
          <reference field="6" count="5">
            <x v="1"/>
            <x v="2"/>
            <x v="3"/>
            <x v="4"/>
            <x v="5"/>
          </reference>
        </references>
      </pivotArea>
    </format>
  </format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9C6EE2-AAE4-41FD-B992-8B5CCFA0909C}" name="Gender"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Payment Status">
  <location ref="G34:H36" firstHeaderRow="1" firstDataRow="1" firstDataCol="1"/>
  <pivotFields count="18">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axis="axisRow" showAll="0">
      <items count="3">
        <item x="1"/>
        <item x="0"/>
        <item t="default"/>
      </items>
    </pivotField>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items count="7">
        <item x="0"/>
        <item x="1"/>
        <item x="2"/>
        <item x="5"/>
        <item x="4"/>
        <item x="3"/>
        <item t="default"/>
      </items>
    </pivotField>
    <pivotField showAll="0"/>
    <pivotField numFmtId="165" showAll="0"/>
    <pivotField numFmtId="166" showAll="0">
      <items count="8">
        <item x="2"/>
        <item x="4"/>
        <item x="0"/>
        <item x="5"/>
        <item x="1"/>
        <item x="3"/>
        <item x="6"/>
        <item t="default"/>
      </items>
    </pivotField>
    <pivotField showAll="0">
      <items count="4">
        <item x="0"/>
        <item x="2"/>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i>
    <i>
      <x v="1"/>
    </i>
  </rowItems>
  <colItems count="1">
    <i/>
  </colItems>
  <dataFields count="1">
    <dataField name="Count of Patient ID" fld="0" subtotal="count" baseField="0" baseItem="0"/>
  </dataFields>
  <chartFormats count="6">
    <chartFormat chart="2"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3" count="1" selected="0">
            <x v="0"/>
          </reference>
        </references>
      </pivotArea>
    </chartFormat>
    <chartFormat chart="16"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58817E-A4B4-40A4-B978-5632F90449B0}" name="age"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4" rowHeaderCaption="Departments">
  <location ref="A8:B13" firstHeaderRow="1" firstDataRow="1" firstDataCol="1"/>
  <pivotFields count="18">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86">
        <item x="37"/>
        <item x="59"/>
        <item x="68"/>
        <item x="30"/>
        <item x="45"/>
        <item x="50"/>
        <item x="9"/>
        <item x="71"/>
        <item x="65"/>
        <item x="74"/>
        <item x="73"/>
        <item x="72"/>
        <item x="84"/>
        <item x="31"/>
        <item x="56"/>
        <item x="43"/>
        <item x="75"/>
        <item x="80"/>
        <item x="60"/>
        <item x="83"/>
        <item x="7"/>
        <item x="78"/>
        <item x="20"/>
        <item x="12"/>
        <item x="77"/>
        <item x="82"/>
        <item x="69"/>
        <item x="57"/>
        <item x="3"/>
        <item x="81"/>
        <item x="49"/>
        <item x="29"/>
        <item x="79"/>
        <item x="51"/>
        <item x="17"/>
        <item x="19"/>
        <item x="35"/>
        <item x="15"/>
        <item x="53"/>
        <item x="11"/>
        <item x="63"/>
        <item x="18"/>
        <item x="42"/>
        <item x="22"/>
        <item x="61"/>
        <item x="6"/>
        <item x="44"/>
        <item x="47"/>
        <item x="27"/>
        <item x="33"/>
        <item x="38"/>
        <item x="24"/>
        <item x="5"/>
        <item x="36"/>
        <item x="55"/>
        <item x="70"/>
        <item x="0"/>
        <item x="23"/>
        <item x="8"/>
        <item x="34"/>
        <item x="28"/>
        <item x="1"/>
        <item x="39"/>
        <item x="40"/>
        <item x="4"/>
        <item x="21"/>
        <item x="13"/>
        <item x="54"/>
        <item x="26"/>
        <item x="14"/>
        <item x="48"/>
        <item x="67"/>
        <item x="32"/>
        <item x="76"/>
        <item x="66"/>
        <item x="52"/>
        <item x="41"/>
        <item x="58"/>
        <item x="25"/>
        <item x="64"/>
        <item x="16"/>
        <item x="2"/>
        <item x="46"/>
        <item x="62"/>
        <item x="10"/>
        <item t="default"/>
      </items>
    </pivotField>
    <pivotField showAll="0">
      <items count="3">
        <item x="1"/>
        <item x="0"/>
        <item t="default"/>
      </items>
    </pivotField>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items count="7">
        <item x="0"/>
        <item x="1"/>
        <item x="2"/>
        <item x="5"/>
        <item x="4"/>
        <item x="3"/>
        <item t="default"/>
      </items>
    </pivotField>
    <pivotField showAll="0"/>
    <pivotField numFmtId="165" showAll="0"/>
    <pivotField numFmtId="166" showAll="0">
      <items count="8">
        <item x="2"/>
        <item x="4"/>
        <item x="0"/>
        <item x="5"/>
        <item x="1"/>
        <item x="3"/>
        <item x="6"/>
        <item t="default"/>
      </items>
    </pivotField>
    <pivotField showAll="0"/>
    <pivotField showAll="0"/>
    <pivotField axis="axisRow" showAll="0">
      <items count="6">
        <item x="4"/>
        <item x="2"/>
        <item x="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5">
    <i>
      <x/>
    </i>
    <i>
      <x v="1"/>
    </i>
    <i>
      <x v="2"/>
    </i>
    <i>
      <x v="3"/>
    </i>
    <i>
      <x v="4"/>
    </i>
  </rowItems>
  <colItems count="1">
    <i/>
  </colItems>
  <dataFields count="1">
    <dataField name="Count of Patient ID" fld="0" subtotal="count" baseField="0" baseItem="0"/>
  </dataFields>
  <chartFormats count="4">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90CA58-D93E-4975-BD10-C2B4AA6E3318}" name="Insurance&amp;Diag"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18:C25" firstHeaderRow="0" firstDataRow="1" firstDataCol="1"/>
  <pivotFields count="18">
    <pivotField showAll="0"/>
    <pivotField showAll="0"/>
    <pivotField showAll="0"/>
    <pivotField showAll="0">
      <items count="3">
        <item x="1"/>
        <item x="0"/>
        <item t="default"/>
      </items>
    </pivotField>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axis="axisRow" showAll="0">
      <items count="7">
        <item x="0"/>
        <item x="1"/>
        <item x="2"/>
        <item x="5"/>
        <item x="4"/>
        <item x="3"/>
        <item t="default"/>
      </items>
    </pivotField>
    <pivotField dataField="1"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5" showAll="0"/>
    <pivotField dataField="1" numFmtId="166" showAll="0">
      <items count="8">
        <item x="2"/>
        <item x="4"/>
        <item x="0"/>
        <item x="5"/>
        <item x="1"/>
        <item x="3"/>
        <item x="6"/>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7">
    <i>
      <x/>
    </i>
    <i>
      <x v="1"/>
    </i>
    <i>
      <x v="2"/>
    </i>
    <i>
      <x v="3"/>
    </i>
    <i>
      <x v="4"/>
    </i>
    <i>
      <x v="5"/>
    </i>
    <i t="grand">
      <x/>
    </i>
  </rowItems>
  <colFields count="1">
    <field x="-2"/>
  </colFields>
  <colItems count="2">
    <i>
      <x/>
    </i>
    <i i="1">
      <x v="1"/>
    </i>
  </colItems>
  <dataFields count="2">
    <dataField name="Average of Insurance Coverage %" fld="9" subtotal="average" baseField="6" baseItem="2" numFmtId="166"/>
    <dataField name="Count of Diagnosis" fld="7" subtotal="count"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F3B37D-F70E-49F0-99AB-4190EAAE35F4}" name="overtim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Departments">
  <location ref="G20:H30" firstHeaderRow="1" firstDataRow="1" firstDataCol="1"/>
  <pivotFields count="18">
    <pivotField showAll="0"/>
    <pivotField showAll="0"/>
    <pivotField showAll="0"/>
    <pivotField showAll="0">
      <items count="3">
        <item x="1"/>
        <item x="0"/>
        <item t="default"/>
      </items>
    </pivotField>
    <pivotField numFmtId="164"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4" showAll="0"/>
    <pivotField showAll="0">
      <items count="7">
        <item x="0"/>
        <item x="1"/>
        <item x="2"/>
        <item x="5"/>
        <item x="4"/>
        <item x="3"/>
        <item t="default"/>
      </items>
    </pivotField>
    <pivotField showAll="0"/>
    <pivotField dataField="1" numFmtId="165" showAll="0"/>
    <pivotField numFmtId="166" showAll="0">
      <items count="8">
        <item x="2"/>
        <item x="4"/>
        <item x="0"/>
        <item x="5"/>
        <item x="1"/>
        <item x="3"/>
        <item x="6"/>
        <item t="default"/>
      </items>
    </pivotField>
    <pivotField showAll="0"/>
    <pivotField showAll="0"/>
    <pivotField showAll="0"/>
    <pivotField showAll="0">
      <items count="25">
        <item x="23"/>
        <item x="5"/>
        <item x="15"/>
        <item x="2"/>
        <item x="11"/>
        <item x="16"/>
        <item x="0"/>
        <item x="8"/>
        <item x="21"/>
        <item x="3"/>
        <item x="4"/>
        <item x="12"/>
        <item x="17"/>
        <item x="10"/>
        <item x="1"/>
        <item x="18"/>
        <item x="13"/>
        <item x="19"/>
        <item x="22"/>
        <item x="6"/>
        <item x="20"/>
        <item x="14"/>
        <item x="7"/>
        <item x="9"/>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x="1"/>
        <item x="2"/>
        <item sd="0" x="3"/>
        <item t="default"/>
      </items>
    </pivotField>
  </pivotFields>
  <rowFields count="3">
    <field x="17"/>
    <field x="16"/>
    <field x="15"/>
  </rowFields>
  <rowItems count="10">
    <i>
      <x v="1"/>
    </i>
    <i r="1">
      <x v="1"/>
    </i>
    <i r="1">
      <x v="2"/>
    </i>
    <i r="1">
      <x v="3"/>
    </i>
    <i r="1">
      <x v="4"/>
    </i>
    <i>
      <x v="2"/>
    </i>
    <i r="1">
      <x v="1"/>
    </i>
    <i r="1">
      <x v="2"/>
    </i>
    <i r="1">
      <x v="3"/>
    </i>
    <i r="1">
      <x v="4"/>
    </i>
  </rowItems>
  <colItems count="1">
    <i/>
  </colItems>
  <dataFields count="1">
    <dataField name="Sum of Total Bill Amount" fld="8" baseField="0" baseItem="0" numFmtId="167"/>
  </dataFields>
  <formats count="1">
    <format dxfId="4">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C44FFDE-9D03-426B-8358-BDB5BD69B1A5}" sourceName="Department">
  <pivotTables>
    <pivotTable tabId="2" name="age"/>
    <pivotTable tabId="2" name="countByDept"/>
    <pivotTable tabId="2" name="dept_"/>
    <pivotTable tabId="2" name="Gender"/>
    <pivotTable tabId="2" name="Insurance&amp;Diag"/>
    <pivotTable tabId="2" name="length"/>
    <pivotTable tabId="2" name="overtime"/>
    <pivotTable tabId="2" name="payment"/>
  </pivotTables>
  <data>
    <tabular pivotCacheId="1416741454">
      <items count="6">
        <i x="0" s="1"/>
        <i x="1" s="1"/>
        <i x="2" s="1"/>
        <i x="5"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35AC395-CB40-4AF1-B707-EE4D87F6E13D}" sourceName="Gender">
  <pivotTables>
    <pivotTable tabId="2" name="length"/>
    <pivotTable tabId="2" name="age"/>
    <pivotTable tabId="2" name="countByDept"/>
    <pivotTable tabId="2" name="dept_"/>
    <pivotTable tabId="2" name="Gender"/>
    <pivotTable tabId="2" name="Insurance&amp;Diag"/>
    <pivotTable tabId="2" name="overtime"/>
    <pivotTable tabId="2" name="payment"/>
  </pivotTables>
  <data>
    <tabular pivotCacheId="141674145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Admission_Date" xr10:uid="{8FA7F8B6-0479-482F-8BC8-28F267B57BEE}" sourceName="Years (Admission Date)">
  <pivotTables>
    <pivotTable tabId="2" name="age"/>
    <pivotTable tabId="2" name="countByDept"/>
    <pivotTable tabId="2" name="dept_"/>
    <pivotTable tabId="2" name="Gender"/>
    <pivotTable tabId="2" name="Insurance&amp;Diag"/>
    <pivotTable tabId="2" name="length"/>
    <pivotTable tabId="2" name="overtime"/>
    <pivotTable tabId="2" name="payment"/>
  </pivotTables>
  <data>
    <tabular pivotCacheId="1416741454">
      <items count="4">
        <i x="1" s="1"/>
        <i x="2" s="1"/>
        <i x="0"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Coverage" xr10:uid="{0D09F498-EE4E-4551-9379-4917EBA102AF}" sourceName="Insurance Coverage %">
  <pivotTables>
    <pivotTable tabId="2" name="length"/>
    <pivotTable tabId="2" name="age"/>
    <pivotTable tabId="2" name="countByDept"/>
    <pivotTable tabId="2" name="dept_"/>
    <pivotTable tabId="2" name="Gender"/>
    <pivotTable tabId="2" name="Insurance&amp;Diag"/>
    <pivotTable tabId="2" name="overtime"/>
    <pivotTable tabId="2" name="payment"/>
  </pivotTables>
  <data>
    <tabular pivotCacheId="1416741454">
      <items count="7">
        <i x="2" s="1"/>
        <i x="4" s="1"/>
        <i x="0" s="1"/>
        <i x="5" s="1"/>
        <i x="1"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761C8AA-899B-4FD1-AF45-F9A34ED87CB5}" cache="Slicer_Department" caption="Department" style="Slicer Style 1" rowHeight="648000"/>
  <slicer name="Gender" xr10:uid="{1AEBE425-1EDB-4408-8A70-D4F440CF4218}" cache="Slicer_Gender" caption="Gender" style="Slicer Style 1" rowHeight="648000"/>
  <slicer name="Years (Admission Date)" xr10:uid="{4EB22841-EE52-4A89-98A0-3E889A1B0BFB}" cache="Slicer_Years__Admission_Date" caption="Years (Admission Date)" style="Slicer Style 1" rowHeight="648000"/>
  <slicer name="Insurance Coverage %" xr10:uid="{3644C2CE-E579-476D-8BD6-EF9A26641CED}" cache="Slicer_Insurance_Coverage" caption="Insurance Coverage %" style="Slicer Style 1" rowHeight="64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EB9907-7F72-4512-9E40-B989A0C9F3D7}" name="Table1" displayName="Table1" ref="A1:M1001" totalsRowShown="0" headerRowDxfId="9">
  <autoFilter ref="A1:M1001" xr:uid="{A2EB9907-7F72-4512-9E40-B989A0C9F3D7}"/>
  <tableColumns count="13">
    <tableColumn id="1" xr3:uid="{A2564138-5B1F-479A-B642-9A55164748D7}" name="Patient ID"/>
    <tableColumn id="2" xr3:uid="{5898FEB5-5031-4B58-86C1-66A3650B0813}" name="Patient Name"/>
    <tableColumn id="3" xr3:uid="{CE43CC25-1609-4225-BD22-B6D13D13EE05}" name="Age"/>
    <tableColumn id="4" xr3:uid="{55985009-F737-4A55-B2E6-051B23FE6D0D}" name="Gender"/>
    <tableColumn id="5" xr3:uid="{FF768508-6EFE-4167-A9D2-53DDA99526E0}" name="Admission Date" dataDxfId="8"/>
    <tableColumn id="6" xr3:uid="{9C4FD96A-9207-480D-A8F5-E97D7568B22F}" name="Discharge Date" dataDxfId="7"/>
    <tableColumn id="7" xr3:uid="{6B947987-1B55-46BC-BD02-CD61A7FE6551}" name="Department"/>
    <tableColumn id="8" xr3:uid="{9B8681A6-8B61-459A-B801-BD34454EFC0F}" name="Diagnosis"/>
    <tableColumn id="9" xr3:uid="{C0DF39C3-CA17-44E5-87F2-FFE8CCCA049A}" name="Total Bill Amount" dataDxfId="6"/>
    <tableColumn id="10" xr3:uid="{A13F05CB-6742-4DC8-BDEE-C5F885E2D533}" name="Insurance Coverage %" dataDxfId="5"/>
    <tableColumn id="11" xr3:uid="{4F76B73C-8E59-47A1-BA60-1517E61C39E0}" name="Payment Status"/>
    <tableColumn id="12" xr3:uid="{7D22A927-F7ED-4593-8CD9-8D9708220374}" name="Length of Stay (Days)">
      <calculatedColumnFormula>F2-E2</calculatedColumnFormula>
    </tableColumn>
    <tableColumn id="13" xr3:uid="{773253AE-F866-4546-8585-161F1D7490C5}" name="Age Group">
      <calculatedColumnFormula>IF(C2&lt;=17,"0–17",IF(C2&lt;=34,"18–34",IF(C2&lt;=49,"35–49",IF(C2&lt;=64,"50–64","65+"))))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A6D4E-CDC8-4622-9ED2-B9A93B6C1015}">
  <sheetPr codeName="Sheet4"/>
  <dimension ref="A1:M1001"/>
  <sheetViews>
    <sheetView workbookViewId="0">
      <pane ySplit="1" topLeftCell="A968" activePane="bottomLeft" state="frozen"/>
      <selection pane="bottomLeft" activeCell="O978" sqref="O978"/>
    </sheetView>
  </sheetViews>
  <sheetFormatPr defaultRowHeight="15"/>
  <cols>
    <col min="1" max="1" width="12" customWidth="1"/>
    <col min="2" max="2" width="19.28515625" bestFit="1" customWidth="1"/>
    <col min="3" max="3" width="6.42578125" customWidth="1"/>
    <col min="4" max="4" width="9.85546875" customWidth="1"/>
    <col min="5" max="5" width="17.28515625" customWidth="1"/>
    <col min="6" max="6" width="16.85546875" customWidth="1"/>
    <col min="7" max="7" width="14" customWidth="1"/>
    <col min="8" max="8" width="20.42578125" bestFit="1" customWidth="1"/>
    <col min="9" max="9" width="38.28515625" customWidth="1"/>
    <col min="10" max="10" width="23" customWidth="1"/>
    <col min="11" max="11" width="17.140625" customWidth="1"/>
    <col min="12" max="12" width="22.140625" customWidth="1"/>
    <col min="13" max="13" width="21.42578125" customWidth="1"/>
    <col min="14" max="14" width="19.7109375" customWidth="1"/>
    <col min="15" max="15" width="24.7109375" customWidth="1"/>
  </cols>
  <sheetData>
    <row r="1" spans="1:13">
      <c r="A1" s="1" t="s">
        <v>0</v>
      </c>
      <c r="B1" s="1" t="s">
        <v>1</v>
      </c>
      <c r="C1" s="1" t="s">
        <v>2</v>
      </c>
      <c r="D1" s="1" t="s">
        <v>3</v>
      </c>
      <c r="E1" s="1" t="s">
        <v>4</v>
      </c>
      <c r="F1" s="1" t="s">
        <v>5</v>
      </c>
      <c r="G1" s="1" t="s">
        <v>6</v>
      </c>
      <c r="H1" s="1" t="s">
        <v>7</v>
      </c>
      <c r="I1" s="1" t="s">
        <v>8</v>
      </c>
      <c r="J1" s="1" t="s">
        <v>9</v>
      </c>
      <c r="K1" s="1" t="s">
        <v>10</v>
      </c>
      <c r="L1" s="1" t="s">
        <v>1744</v>
      </c>
      <c r="M1" s="1" t="s">
        <v>1745</v>
      </c>
    </row>
    <row r="2" spans="1:13">
      <c r="A2" t="s">
        <v>11</v>
      </c>
      <c r="B2" t="s">
        <v>12</v>
      </c>
      <c r="C2">
        <v>57</v>
      </c>
      <c r="D2" t="s">
        <v>13</v>
      </c>
      <c r="E2" s="2">
        <v>45488</v>
      </c>
      <c r="F2" s="2">
        <v>45496</v>
      </c>
      <c r="G2" t="s">
        <v>14</v>
      </c>
      <c r="H2" t="s">
        <v>15</v>
      </c>
      <c r="I2" s="3">
        <v>15359.41</v>
      </c>
      <c r="J2" s="4">
        <v>60</v>
      </c>
      <c r="K2" t="s">
        <v>16</v>
      </c>
      <c r="L2">
        <f>F2-E2</f>
        <v>8</v>
      </c>
      <c r="M2" t="str">
        <f>IF(C2&lt;=17,"0–17",IF(C2&lt;=34,"18–34",IF(C2&lt;=49,"35–49",IF(C2&lt;=64,"50–64","65+"))))</f>
        <v>50–64</v>
      </c>
    </row>
    <row r="3" spans="1:13">
      <c r="A3" t="s">
        <v>17</v>
      </c>
      <c r="B3" t="s">
        <v>18</v>
      </c>
      <c r="C3">
        <v>62</v>
      </c>
      <c r="D3" t="s">
        <v>19</v>
      </c>
      <c r="E3" s="2">
        <v>45729</v>
      </c>
      <c r="F3" s="2">
        <v>45739</v>
      </c>
      <c r="G3" t="s">
        <v>14</v>
      </c>
      <c r="H3" t="s">
        <v>20</v>
      </c>
      <c r="I3" s="3">
        <v>21896.6</v>
      </c>
      <c r="J3" s="4">
        <v>80</v>
      </c>
      <c r="K3" t="s">
        <v>21</v>
      </c>
      <c r="L3">
        <f t="shared" ref="L3:L66" si="0">F3-E3</f>
        <v>10</v>
      </c>
      <c r="M3" t="str">
        <f t="shared" ref="M3:M66" si="1">IF(C3&lt;=17,"0–17",IF(C3&lt;=34,"18–34",IF(C3&lt;=49,"35–49",IF(C3&lt;=64,"50–64","65+"))))</f>
        <v>50–64</v>
      </c>
    </row>
    <row r="4" spans="1:13">
      <c r="A4" t="s">
        <v>22</v>
      </c>
      <c r="B4" t="s">
        <v>23</v>
      </c>
      <c r="C4">
        <v>82</v>
      </c>
      <c r="D4" t="s">
        <v>19</v>
      </c>
      <c r="E4" s="2">
        <v>45387</v>
      </c>
      <c r="F4" s="2">
        <v>45390</v>
      </c>
      <c r="G4" t="s">
        <v>24</v>
      </c>
      <c r="H4" t="s">
        <v>25</v>
      </c>
      <c r="I4" s="3">
        <v>6404.86</v>
      </c>
      <c r="J4" s="4">
        <v>0</v>
      </c>
      <c r="K4" t="s">
        <v>26</v>
      </c>
      <c r="L4">
        <f t="shared" si="0"/>
        <v>3</v>
      </c>
      <c r="M4" t="str">
        <f t="shared" si="1"/>
        <v>65+</v>
      </c>
    </row>
    <row r="5" spans="1:13">
      <c r="A5" t="s">
        <v>27</v>
      </c>
      <c r="B5" t="s">
        <v>28</v>
      </c>
      <c r="C5">
        <v>29</v>
      </c>
      <c r="D5" t="s">
        <v>19</v>
      </c>
      <c r="E5" s="2">
        <v>45588</v>
      </c>
      <c r="F5" s="2">
        <v>45589</v>
      </c>
      <c r="G5" t="s">
        <v>24</v>
      </c>
      <c r="H5" t="s">
        <v>29</v>
      </c>
      <c r="I5" s="3">
        <v>1001.68</v>
      </c>
      <c r="J5" s="4">
        <v>90</v>
      </c>
      <c r="K5" t="s">
        <v>21</v>
      </c>
      <c r="L5">
        <f t="shared" si="0"/>
        <v>1</v>
      </c>
      <c r="M5" t="str">
        <f t="shared" si="1"/>
        <v>18–34</v>
      </c>
    </row>
    <row r="6" spans="1:13">
      <c r="A6" t="s">
        <v>30</v>
      </c>
      <c r="B6" t="s">
        <v>31</v>
      </c>
      <c r="C6">
        <v>65</v>
      </c>
      <c r="D6" t="s">
        <v>13</v>
      </c>
      <c r="E6" s="2">
        <v>45621</v>
      </c>
      <c r="F6" s="2">
        <v>45627</v>
      </c>
      <c r="G6" t="s">
        <v>32</v>
      </c>
      <c r="H6" t="s">
        <v>33</v>
      </c>
      <c r="I6" s="3">
        <v>4022.42</v>
      </c>
      <c r="J6" s="4">
        <v>80</v>
      </c>
      <c r="K6" t="s">
        <v>21</v>
      </c>
      <c r="L6">
        <f t="shared" si="0"/>
        <v>6</v>
      </c>
      <c r="M6" t="str">
        <f t="shared" si="1"/>
        <v>65+</v>
      </c>
    </row>
    <row r="7" spans="1:13">
      <c r="A7" t="s">
        <v>34</v>
      </c>
      <c r="B7" t="s">
        <v>35</v>
      </c>
      <c r="C7">
        <v>53</v>
      </c>
      <c r="D7" t="s">
        <v>13</v>
      </c>
      <c r="E7" s="2">
        <v>45494</v>
      </c>
      <c r="F7" s="2">
        <v>45501</v>
      </c>
      <c r="G7" t="s">
        <v>32</v>
      </c>
      <c r="H7" t="s">
        <v>36</v>
      </c>
      <c r="I7" s="3">
        <v>6621.96</v>
      </c>
      <c r="J7" s="4">
        <v>50</v>
      </c>
      <c r="K7" t="s">
        <v>26</v>
      </c>
      <c r="L7">
        <f t="shared" si="0"/>
        <v>7</v>
      </c>
      <c r="M7" t="str">
        <f t="shared" si="1"/>
        <v>50–64</v>
      </c>
    </row>
    <row r="8" spans="1:13">
      <c r="A8" t="s">
        <v>37</v>
      </c>
      <c r="B8" t="s">
        <v>38</v>
      </c>
      <c r="C8">
        <v>46</v>
      </c>
      <c r="D8" t="s">
        <v>19</v>
      </c>
      <c r="E8" s="2">
        <v>45331</v>
      </c>
      <c r="F8" s="2">
        <v>45335</v>
      </c>
      <c r="G8" t="s">
        <v>14</v>
      </c>
      <c r="H8" t="s">
        <v>39</v>
      </c>
      <c r="I8" s="3">
        <v>7676.36</v>
      </c>
      <c r="J8" s="4">
        <v>70</v>
      </c>
      <c r="K8" t="s">
        <v>26</v>
      </c>
      <c r="L8">
        <f t="shared" si="0"/>
        <v>4</v>
      </c>
      <c r="M8" t="str">
        <f t="shared" si="1"/>
        <v>35–49</v>
      </c>
    </row>
    <row r="9" spans="1:13">
      <c r="A9" t="s">
        <v>40</v>
      </c>
      <c r="B9" t="s">
        <v>41</v>
      </c>
      <c r="C9">
        <v>21</v>
      </c>
      <c r="D9" t="s">
        <v>19</v>
      </c>
      <c r="E9" s="2">
        <v>45346</v>
      </c>
      <c r="F9" s="2">
        <v>45349</v>
      </c>
      <c r="G9" t="s">
        <v>24</v>
      </c>
      <c r="H9" t="s">
        <v>42</v>
      </c>
      <c r="I9" s="3">
        <v>7381.69</v>
      </c>
      <c r="J9" s="4">
        <v>80</v>
      </c>
      <c r="K9" t="s">
        <v>21</v>
      </c>
      <c r="L9">
        <f t="shared" si="0"/>
        <v>3</v>
      </c>
      <c r="M9" t="str">
        <f t="shared" si="1"/>
        <v>18–34</v>
      </c>
    </row>
    <row r="10" spans="1:13">
      <c r="A10" t="s">
        <v>43</v>
      </c>
      <c r="B10" t="s">
        <v>44</v>
      </c>
      <c r="C10">
        <v>62</v>
      </c>
      <c r="D10" t="s">
        <v>13</v>
      </c>
      <c r="E10" s="2">
        <v>45607</v>
      </c>
      <c r="F10" s="2">
        <v>45613</v>
      </c>
      <c r="G10" t="s">
        <v>32</v>
      </c>
      <c r="H10" t="s">
        <v>45</v>
      </c>
      <c r="I10" s="3">
        <v>5206.3999999999996</v>
      </c>
      <c r="J10" s="4">
        <v>80</v>
      </c>
      <c r="K10" t="s">
        <v>21</v>
      </c>
      <c r="L10">
        <f t="shared" si="0"/>
        <v>6</v>
      </c>
      <c r="M10" t="str">
        <f t="shared" si="1"/>
        <v>50–64</v>
      </c>
    </row>
    <row r="11" spans="1:13">
      <c r="A11" t="s">
        <v>46</v>
      </c>
      <c r="B11" t="s">
        <v>47</v>
      </c>
      <c r="C11">
        <v>59</v>
      </c>
      <c r="D11" t="s">
        <v>13</v>
      </c>
      <c r="E11" s="2">
        <v>45874</v>
      </c>
      <c r="F11" s="2">
        <v>45875</v>
      </c>
      <c r="G11" t="s">
        <v>24</v>
      </c>
      <c r="H11" t="s">
        <v>42</v>
      </c>
      <c r="I11" s="3">
        <v>2498.98</v>
      </c>
      <c r="J11" s="4">
        <v>50</v>
      </c>
      <c r="K11" t="s">
        <v>21</v>
      </c>
      <c r="L11">
        <f t="shared" si="0"/>
        <v>1</v>
      </c>
      <c r="M11" t="str">
        <f t="shared" si="1"/>
        <v>50–64</v>
      </c>
    </row>
    <row r="12" spans="1:13">
      <c r="A12" t="s">
        <v>48</v>
      </c>
      <c r="B12" t="s">
        <v>49</v>
      </c>
      <c r="C12">
        <v>7</v>
      </c>
      <c r="D12" t="s">
        <v>13</v>
      </c>
      <c r="E12" s="2">
        <v>45967</v>
      </c>
      <c r="F12" s="2">
        <v>45969</v>
      </c>
      <c r="G12" t="s">
        <v>50</v>
      </c>
      <c r="H12" t="s">
        <v>51</v>
      </c>
      <c r="I12" s="3">
        <v>2096.73</v>
      </c>
      <c r="J12" s="4">
        <v>70</v>
      </c>
      <c r="K12" t="s">
        <v>16</v>
      </c>
      <c r="L12">
        <f t="shared" si="0"/>
        <v>2</v>
      </c>
      <c r="M12" t="str">
        <f t="shared" si="1"/>
        <v>0–17</v>
      </c>
    </row>
    <row r="13" spans="1:13">
      <c r="A13" t="s">
        <v>52</v>
      </c>
      <c r="B13" t="s">
        <v>53</v>
      </c>
      <c r="C13">
        <v>85</v>
      </c>
      <c r="D13" t="s">
        <v>19</v>
      </c>
      <c r="E13" s="2">
        <v>45719</v>
      </c>
      <c r="F13" s="2">
        <v>45724</v>
      </c>
      <c r="G13" t="s">
        <v>32</v>
      </c>
      <c r="H13" t="s">
        <v>54</v>
      </c>
      <c r="I13" s="3">
        <v>4619.6099999999997</v>
      </c>
      <c r="J13" s="4">
        <v>70</v>
      </c>
      <c r="K13" t="s">
        <v>21</v>
      </c>
      <c r="L13">
        <f t="shared" si="0"/>
        <v>5</v>
      </c>
      <c r="M13" t="str">
        <f t="shared" si="1"/>
        <v>65+</v>
      </c>
    </row>
    <row r="14" spans="1:13">
      <c r="A14" t="s">
        <v>55</v>
      </c>
      <c r="B14" t="s">
        <v>56</v>
      </c>
      <c r="C14">
        <v>40</v>
      </c>
      <c r="D14" t="s">
        <v>13</v>
      </c>
      <c r="E14" s="2">
        <v>45500</v>
      </c>
      <c r="F14" s="2">
        <v>45502</v>
      </c>
      <c r="G14" t="s">
        <v>24</v>
      </c>
      <c r="H14" t="s">
        <v>25</v>
      </c>
      <c r="I14" s="3">
        <v>3367.87</v>
      </c>
      <c r="J14" s="4">
        <v>90</v>
      </c>
      <c r="K14" t="s">
        <v>16</v>
      </c>
      <c r="L14">
        <f t="shared" si="0"/>
        <v>2</v>
      </c>
      <c r="M14" t="str">
        <f t="shared" si="1"/>
        <v>35–49</v>
      </c>
    </row>
    <row r="15" spans="1:13">
      <c r="A15" t="s">
        <v>57</v>
      </c>
      <c r="B15" t="s">
        <v>58</v>
      </c>
      <c r="C15">
        <v>24</v>
      </c>
      <c r="D15" t="s">
        <v>13</v>
      </c>
      <c r="E15" s="2">
        <v>45524</v>
      </c>
      <c r="F15" s="2">
        <v>45526</v>
      </c>
      <c r="G15" t="s">
        <v>32</v>
      </c>
      <c r="H15" t="s">
        <v>36</v>
      </c>
      <c r="I15" s="3">
        <v>2287.25</v>
      </c>
      <c r="J15" s="4">
        <v>60</v>
      </c>
      <c r="K15" t="s">
        <v>16</v>
      </c>
      <c r="L15">
        <f t="shared" si="0"/>
        <v>2</v>
      </c>
      <c r="M15" t="str">
        <f t="shared" si="1"/>
        <v>18–34</v>
      </c>
    </row>
    <row r="16" spans="1:13">
      <c r="A16" t="s">
        <v>59</v>
      </c>
      <c r="B16" t="s">
        <v>60</v>
      </c>
      <c r="C16">
        <v>67</v>
      </c>
      <c r="D16" t="s">
        <v>19</v>
      </c>
      <c r="E16" s="2">
        <v>46003</v>
      </c>
      <c r="F16" s="2">
        <v>46012</v>
      </c>
      <c r="G16" t="s">
        <v>61</v>
      </c>
      <c r="H16" t="s">
        <v>62</v>
      </c>
      <c r="I16" s="3">
        <v>12489.51</v>
      </c>
      <c r="J16" s="4">
        <v>100</v>
      </c>
      <c r="K16" t="s">
        <v>16</v>
      </c>
      <c r="L16">
        <f t="shared" si="0"/>
        <v>9</v>
      </c>
      <c r="M16" t="str">
        <f t="shared" si="1"/>
        <v>65+</v>
      </c>
    </row>
    <row r="17" spans="1:13">
      <c r="A17" t="s">
        <v>63</v>
      </c>
      <c r="B17" t="s">
        <v>64</v>
      </c>
      <c r="C17">
        <v>70</v>
      </c>
      <c r="D17" t="s">
        <v>19</v>
      </c>
      <c r="E17" s="2">
        <v>45695</v>
      </c>
      <c r="F17" s="2">
        <v>45701</v>
      </c>
      <c r="G17" t="s">
        <v>32</v>
      </c>
      <c r="H17" t="s">
        <v>36</v>
      </c>
      <c r="I17" s="3">
        <v>4262.21</v>
      </c>
      <c r="J17" s="4">
        <v>100</v>
      </c>
      <c r="K17" t="s">
        <v>16</v>
      </c>
      <c r="L17">
        <f t="shared" si="0"/>
        <v>6</v>
      </c>
      <c r="M17" t="str">
        <f t="shared" si="1"/>
        <v>65+</v>
      </c>
    </row>
    <row r="18" spans="1:13">
      <c r="A18" t="s">
        <v>65</v>
      </c>
      <c r="B18" t="s">
        <v>66</v>
      </c>
      <c r="C18">
        <v>38</v>
      </c>
      <c r="D18" t="s">
        <v>13</v>
      </c>
      <c r="E18" s="2">
        <v>45528</v>
      </c>
      <c r="F18" s="2">
        <v>45532</v>
      </c>
      <c r="G18" t="s">
        <v>32</v>
      </c>
      <c r="H18" t="s">
        <v>36</v>
      </c>
      <c r="I18" s="3">
        <v>5523.81</v>
      </c>
      <c r="J18" s="4">
        <v>70</v>
      </c>
      <c r="K18" t="s">
        <v>21</v>
      </c>
      <c r="L18">
        <f t="shared" si="0"/>
        <v>4</v>
      </c>
      <c r="M18" t="str">
        <f t="shared" si="1"/>
        <v>35–49</v>
      </c>
    </row>
    <row r="19" spans="1:13">
      <c r="A19" t="s">
        <v>67</v>
      </c>
      <c r="B19" t="s">
        <v>68</v>
      </c>
      <c r="C19">
        <v>81</v>
      </c>
      <c r="D19" t="s">
        <v>19</v>
      </c>
      <c r="E19" s="2">
        <v>45439</v>
      </c>
      <c r="F19" s="2">
        <v>45441</v>
      </c>
      <c r="G19" t="s">
        <v>32</v>
      </c>
      <c r="H19" t="s">
        <v>33</v>
      </c>
      <c r="I19" s="3">
        <v>1097.76</v>
      </c>
      <c r="J19" s="4">
        <v>80</v>
      </c>
      <c r="K19" t="s">
        <v>16</v>
      </c>
      <c r="L19">
        <f t="shared" si="0"/>
        <v>2</v>
      </c>
      <c r="M19" t="str">
        <f t="shared" si="1"/>
        <v>65+</v>
      </c>
    </row>
    <row r="20" spans="1:13">
      <c r="A20" t="s">
        <v>69</v>
      </c>
      <c r="B20" t="s">
        <v>70</v>
      </c>
      <c r="C20">
        <v>35</v>
      </c>
      <c r="D20" t="s">
        <v>19</v>
      </c>
      <c r="E20" s="2">
        <v>45649</v>
      </c>
      <c r="F20" s="2">
        <v>45655</v>
      </c>
      <c r="G20" t="s">
        <v>71</v>
      </c>
      <c r="H20" t="s">
        <v>72</v>
      </c>
      <c r="I20" s="3">
        <v>14272.73</v>
      </c>
      <c r="J20" s="4">
        <v>80</v>
      </c>
      <c r="K20" t="s">
        <v>21</v>
      </c>
      <c r="L20">
        <f t="shared" si="0"/>
        <v>6</v>
      </c>
      <c r="M20" t="str">
        <f t="shared" si="1"/>
        <v>35–49</v>
      </c>
    </row>
    <row r="21" spans="1:13">
      <c r="A21" t="s">
        <v>73</v>
      </c>
      <c r="B21" t="s">
        <v>74</v>
      </c>
      <c r="C21">
        <v>42</v>
      </c>
      <c r="D21" t="s">
        <v>19</v>
      </c>
      <c r="E21" s="2">
        <v>45804</v>
      </c>
      <c r="F21" s="2">
        <v>45817</v>
      </c>
      <c r="G21" t="s">
        <v>61</v>
      </c>
      <c r="H21" t="s">
        <v>75</v>
      </c>
      <c r="I21" s="3">
        <v>18429.310000000001</v>
      </c>
      <c r="J21" s="4">
        <v>100</v>
      </c>
      <c r="K21" t="s">
        <v>16</v>
      </c>
      <c r="L21">
        <f t="shared" si="0"/>
        <v>13</v>
      </c>
      <c r="M21" t="str">
        <f t="shared" si="1"/>
        <v>35–49</v>
      </c>
    </row>
    <row r="22" spans="1:13">
      <c r="A22" t="s">
        <v>76</v>
      </c>
      <c r="B22" t="s">
        <v>77</v>
      </c>
      <c r="C22">
        <v>36</v>
      </c>
      <c r="D22" t="s">
        <v>13</v>
      </c>
      <c r="E22" s="2">
        <v>45952</v>
      </c>
      <c r="F22" s="2">
        <v>45958</v>
      </c>
      <c r="G22" t="s">
        <v>61</v>
      </c>
      <c r="H22" t="s">
        <v>78</v>
      </c>
      <c r="I22" s="3">
        <v>11481.03</v>
      </c>
      <c r="J22" s="4">
        <v>80</v>
      </c>
      <c r="K22" t="s">
        <v>21</v>
      </c>
      <c r="L22">
        <f t="shared" si="0"/>
        <v>6</v>
      </c>
      <c r="M22" t="str">
        <f t="shared" si="1"/>
        <v>35–49</v>
      </c>
    </row>
    <row r="23" spans="1:13">
      <c r="A23" t="s">
        <v>79</v>
      </c>
      <c r="B23" t="s">
        <v>80</v>
      </c>
      <c r="C23">
        <v>67</v>
      </c>
      <c r="D23" t="s">
        <v>19</v>
      </c>
      <c r="E23" s="2">
        <v>45699</v>
      </c>
      <c r="F23" s="2">
        <v>45702</v>
      </c>
      <c r="G23" t="s">
        <v>14</v>
      </c>
      <c r="H23" t="s">
        <v>15</v>
      </c>
      <c r="I23" s="3">
        <v>6324.27</v>
      </c>
      <c r="J23" s="4">
        <v>80</v>
      </c>
      <c r="K23" t="s">
        <v>16</v>
      </c>
      <c r="L23">
        <f t="shared" si="0"/>
        <v>3</v>
      </c>
      <c r="M23" t="str">
        <f t="shared" si="1"/>
        <v>65+</v>
      </c>
    </row>
    <row r="24" spans="1:13">
      <c r="A24" t="s">
        <v>81</v>
      </c>
      <c r="B24" t="s">
        <v>82</v>
      </c>
      <c r="C24">
        <v>23</v>
      </c>
      <c r="D24" t="s">
        <v>13</v>
      </c>
      <c r="E24" s="2">
        <v>45613</v>
      </c>
      <c r="F24" s="2">
        <v>45614</v>
      </c>
      <c r="G24" t="s">
        <v>24</v>
      </c>
      <c r="H24" t="s">
        <v>83</v>
      </c>
      <c r="I24" s="3">
        <v>1888.07</v>
      </c>
      <c r="J24" s="4">
        <v>80</v>
      </c>
      <c r="K24" t="s">
        <v>26</v>
      </c>
      <c r="L24">
        <f t="shared" si="0"/>
        <v>1</v>
      </c>
      <c r="M24" t="str">
        <f t="shared" si="1"/>
        <v>18–34</v>
      </c>
    </row>
    <row r="25" spans="1:13">
      <c r="A25" t="s">
        <v>84</v>
      </c>
      <c r="B25" t="s">
        <v>85</v>
      </c>
      <c r="C25">
        <v>66</v>
      </c>
      <c r="D25" t="s">
        <v>19</v>
      </c>
      <c r="E25" s="2">
        <v>45370</v>
      </c>
      <c r="F25" s="2">
        <v>45378</v>
      </c>
      <c r="G25" t="s">
        <v>14</v>
      </c>
      <c r="H25" t="s">
        <v>15</v>
      </c>
      <c r="I25" s="3">
        <v>21654.18</v>
      </c>
      <c r="J25" s="4">
        <v>70</v>
      </c>
      <c r="K25" t="s">
        <v>16</v>
      </c>
      <c r="L25">
        <f t="shared" si="0"/>
        <v>8</v>
      </c>
      <c r="M25" t="str">
        <f t="shared" si="1"/>
        <v>65+</v>
      </c>
    </row>
    <row r="26" spans="1:13">
      <c r="A26" t="s">
        <v>86</v>
      </c>
      <c r="B26" t="s">
        <v>87</v>
      </c>
      <c r="C26">
        <v>57</v>
      </c>
      <c r="D26" t="s">
        <v>19</v>
      </c>
      <c r="E26" s="2">
        <v>45706</v>
      </c>
      <c r="F26" s="2">
        <v>45709</v>
      </c>
      <c r="G26" t="s">
        <v>32</v>
      </c>
      <c r="H26" t="s">
        <v>88</v>
      </c>
      <c r="I26" s="3">
        <v>2641.14</v>
      </c>
      <c r="J26" s="4">
        <v>100</v>
      </c>
      <c r="K26" t="s">
        <v>16</v>
      </c>
      <c r="L26">
        <f t="shared" si="0"/>
        <v>3</v>
      </c>
      <c r="M26" t="str">
        <f t="shared" si="1"/>
        <v>50–64</v>
      </c>
    </row>
    <row r="27" spans="1:13">
      <c r="A27" t="s">
        <v>89</v>
      </c>
      <c r="B27" t="s">
        <v>90</v>
      </c>
      <c r="C27">
        <v>44</v>
      </c>
      <c r="D27" t="s">
        <v>13</v>
      </c>
      <c r="E27" s="2">
        <v>45463</v>
      </c>
      <c r="F27" s="2">
        <v>45467</v>
      </c>
      <c r="G27" t="s">
        <v>32</v>
      </c>
      <c r="H27" t="s">
        <v>54</v>
      </c>
      <c r="I27" s="3">
        <v>5522.03</v>
      </c>
      <c r="J27" s="4">
        <v>0</v>
      </c>
      <c r="K27" t="s">
        <v>26</v>
      </c>
      <c r="L27">
        <f t="shared" si="0"/>
        <v>4</v>
      </c>
      <c r="M27" t="str">
        <f t="shared" si="1"/>
        <v>35–49</v>
      </c>
    </row>
    <row r="28" spans="1:13">
      <c r="A28" t="s">
        <v>91</v>
      </c>
      <c r="B28" t="s">
        <v>92</v>
      </c>
      <c r="C28">
        <v>58</v>
      </c>
      <c r="D28" t="s">
        <v>13</v>
      </c>
      <c r="E28" s="2">
        <v>45446</v>
      </c>
      <c r="F28" s="2">
        <v>45451</v>
      </c>
      <c r="G28" t="s">
        <v>14</v>
      </c>
      <c r="H28" t="s">
        <v>39</v>
      </c>
      <c r="I28" s="3">
        <v>8789.32</v>
      </c>
      <c r="J28" s="4">
        <v>90</v>
      </c>
      <c r="K28" t="s">
        <v>21</v>
      </c>
      <c r="L28">
        <f t="shared" si="0"/>
        <v>5</v>
      </c>
      <c r="M28" t="str">
        <f t="shared" si="1"/>
        <v>50–64</v>
      </c>
    </row>
    <row r="29" spans="1:13">
      <c r="A29" t="s">
        <v>93</v>
      </c>
      <c r="B29" t="s">
        <v>94</v>
      </c>
      <c r="C29">
        <v>62</v>
      </c>
      <c r="D29" t="s">
        <v>13</v>
      </c>
      <c r="E29" s="2">
        <v>45682</v>
      </c>
      <c r="F29" s="2">
        <v>45687</v>
      </c>
      <c r="G29" t="s">
        <v>71</v>
      </c>
      <c r="H29" t="s">
        <v>95</v>
      </c>
      <c r="I29" s="3">
        <v>7969.42</v>
      </c>
      <c r="J29" s="4">
        <v>100</v>
      </c>
      <c r="K29" t="s">
        <v>16</v>
      </c>
      <c r="L29">
        <f t="shared" si="0"/>
        <v>5</v>
      </c>
      <c r="M29" t="str">
        <f t="shared" si="1"/>
        <v>50–64</v>
      </c>
    </row>
    <row r="30" spans="1:13">
      <c r="A30" t="s">
        <v>96</v>
      </c>
      <c r="B30" t="s">
        <v>97</v>
      </c>
      <c r="C30">
        <v>52</v>
      </c>
      <c r="D30" t="s">
        <v>13</v>
      </c>
      <c r="E30" s="2">
        <v>45753</v>
      </c>
      <c r="F30" s="2">
        <v>45759</v>
      </c>
      <c r="G30" t="s">
        <v>61</v>
      </c>
      <c r="H30" t="s">
        <v>98</v>
      </c>
      <c r="I30" s="3">
        <v>7929.71</v>
      </c>
      <c r="J30" s="4">
        <v>90</v>
      </c>
      <c r="K30" t="s">
        <v>16</v>
      </c>
      <c r="L30">
        <f t="shared" si="0"/>
        <v>6</v>
      </c>
      <c r="M30" t="str">
        <f t="shared" si="1"/>
        <v>50–64</v>
      </c>
    </row>
    <row r="31" spans="1:13">
      <c r="A31" t="s">
        <v>99</v>
      </c>
      <c r="B31" t="s">
        <v>100</v>
      </c>
      <c r="C31">
        <v>35</v>
      </c>
      <c r="D31" t="s">
        <v>19</v>
      </c>
      <c r="E31" s="2">
        <v>45566</v>
      </c>
      <c r="F31" s="2">
        <v>45569</v>
      </c>
      <c r="G31" t="s">
        <v>24</v>
      </c>
      <c r="H31" t="s">
        <v>29</v>
      </c>
      <c r="I31" s="3">
        <v>4772.8900000000003</v>
      </c>
      <c r="J31" s="4">
        <v>90</v>
      </c>
      <c r="K31" t="s">
        <v>16</v>
      </c>
      <c r="L31">
        <f t="shared" si="0"/>
        <v>3</v>
      </c>
      <c r="M31" t="str">
        <f t="shared" si="1"/>
        <v>35–49</v>
      </c>
    </row>
    <row r="32" spans="1:13">
      <c r="A32" t="s">
        <v>101</v>
      </c>
      <c r="B32" t="s">
        <v>102</v>
      </c>
      <c r="C32">
        <v>79</v>
      </c>
      <c r="D32" t="s">
        <v>19</v>
      </c>
      <c r="E32" s="2">
        <v>45466</v>
      </c>
      <c r="F32" s="2">
        <v>45469</v>
      </c>
      <c r="G32" t="s">
        <v>14</v>
      </c>
      <c r="H32" t="s">
        <v>103</v>
      </c>
      <c r="I32" s="3">
        <v>6826.49</v>
      </c>
      <c r="J32" s="4">
        <v>80</v>
      </c>
      <c r="K32" t="s">
        <v>16</v>
      </c>
      <c r="L32">
        <f t="shared" si="0"/>
        <v>3</v>
      </c>
      <c r="M32" t="str">
        <f t="shared" si="1"/>
        <v>65+</v>
      </c>
    </row>
    <row r="33" spans="1:13">
      <c r="A33" t="s">
        <v>104</v>
      </c>
      <c r="B33" t="s">
        <v>105</v>
      </c>
      <c r="C33">
        <v>69</v>
      </c>
      <c r="D33" t="s">
        <v>19</v>
      </c>
      <c r="E33" s="2">
        <v>45371</v>
      </c>
      <c r="F33" s="2">
        <v>45373</v>
      </c>
      <c r="G33" t="s">
        <v>32</v>
      </c>
      <c r="H33" t="s">
        <v>33</v>
      </c>
      <c r="I33" s="3">
        <v>2177.7800000000002</v>
      </c>
      <c r="J33" s="4">
        <v>90</v>
      </c>
      <c r="K33" t="s">
        <v>26</v>
      </c>
      <c r="L33">
        <f t="shared" si="0"/>
        <v>2</v>
      </c>
      <c r="M33" t="str">
        <f t="shared" si="1"/>
        <v>65+</v>
      </c>
    </row>
    <row r="34" spans="1:13">
      <c r="A34" t="s">
        <v>106</v>
      </c>
      <c r="B34" t="s">
        <v>107</v>
      </c>
      <c r="C34">
        <v>21</v>
      </c>
      <c r="D34" t="s">
        <v>19</v>
      </c>
      <c r="E34" s="2">
        <v>45798</v>
      </c>
      <c r="F34" s="2">
        <v>45800</v>
      </c>
      <c r="G34" t="s">
        <v>24</v>
      </c>
      <c r="H34" t="s">
        <v>29</v>
      </c>
      <c r="I34" s="3">
        <v>3527.3</v>
      </c>
      <c r="J34" s="4">
        <v>0</v>
      </c>
      <c r="K34" t="s">
        <v>26</v>
      </c>
      <c r="L34">
        <f t="shared" si="0"/>
        <v>2</v>
      </c>
      <c r="M34" t="str">
        <f t="shared" si="1"/>
        <v>18–34</v>
      </c>
    </row>
    <row r="35" spans="1:13">
      <c r="A35" t="s">
        <v>108</v>
      </c>
      <c r="B35" t="s">
        <v>109</v>
      </c>
      <c r="C35">
        <v>49</v>
      </c>
      <c r="D35" t="s">
        <v>13</v>
      </c>
      <c r="E35" s="2">
        <v>45945</v>
      </c>
      <c r="F35" s="2">
        <v>45946</v>
      </c>
      <c r="G35" t="s">
        <v>24</v>
      </c>
      <c r="H35" t="s">
        <v>29</v>
      </c>
      <c r="I35" s="3">
        <v>1184.01</v>
      </c>
      <c r="J35" s="4">
        <v>100</v>
      </c>
      <c r="K35" t="s">
        <v>16</v>
      </c>
      <c r="L35">
        <f t="shared" si="0"/>
        <v>1</v>
      </c>
      <c r="M35" t="str">
        <f t="shared" si="1"/>
        <v>35–49</v>
      </c>
    </row>
    <row r="36" spans="1:13">
      <c r="A36" t="s">
        <v>110</v>
      </c>
      <c r="B36" t="s">
        <v>111</v>
      </c>
      <c r="C36">
        <v>61</v>
      </c>
      <c r="D36" t="s">
        <v>13</v>
      </c>
      <c r="E36" s="2">
        <v>45737</v>
      </c>
      <c r="F36" s="2">
        <v>45742</v>
      </c>
      <c r="G36" t="s">
        <v>14</v>
      </c>
      <c r="H36" t="s">
        <v>112</v>
      </c>
      <c r="I36" s="3">
        <v>10760.65</v>
      </c>
      <c r="J36" s="4">
        <v>100</v>
      </c>
      <c r="K36" t="s">
        <v>16</v>
      </c>
      <c r="L36">
        <f t="shared" si="0"/>
        <v>5</v>
      </c>
      <c r="M36" t="str">
        <f t="shared" si="1"/>
        <v>50–64</v>
      </c>
    </row>
    <row r="37" spans="1:13">
      <c r="A37" t="s">
        <v>113</v>
      </c>
      <c r="B37" t="s">
        <v>114</v>
      </c>
      <c r="C37">
        <v>32</v>
      </c>
      <c r="D37" t="s">
        <v>19</v>
      </c>
      <c r="E37" s="2">
        <v>45878</v>
      </c>
      <c r="F37" s="2">
        <v>45883</v>
      </c>
      <c r="G37" t="s">
        <v>32</v>
      </c>
      <c r="H37" t="s">
        <v>115</v>
      </c>
      <c r="I37" s="3">
        <v>7422.15</v>
      </c>
      <c r="J37" s="4">
        <v>60</v>
      </c>
      <c r="K37" t="s">
        <v>21</v>
      </c>
      <c r="L37">
        <f t="shared" si="0"/>
        <v>5</v>
      </c>
      <c r="M37" t="str">
        <f t="shared" si="1"/>
        <v>18–34</v>
      </c>
    </row>
    <row r="38" spans="1:13">
      <c r="A38" t="s">
        <v>116</v>
      </c>
      <c r="B38" t="s">
        <v>117</v>
      </c>
      <c r="C38">
        <v>7</v>
      </c>
      <c r="D38" t="s">
        <v>19</v>
      </c>
      <c r="E38" s="2">
        <v>45811</v>
      </c>
      <c r="F38" s="2">
        <v>45816</v>
      </c>
      <c r="G38" t="s">
        <v>50</v>
      </c>
      <c r="H38" t="s">
        <v>118</v>
      </c>
      <c r="I38" s="3">
        <v>3623.14</v>
      </c>
      <c r="J38" s="4">
        <v>50</v>
      </c>
      <c r="K38" t="s">
        <v>16</v>
      </c>
      <c r="L38">
        <f t="shared" si="0"/>
        <v>5</v>
      </c>
      <c r="M38" t="str">
        <f t="shared" si="1"/>
        <v>0–17</v>
      </c>
    </row>
    <row r="39" spans="1:13">
      <c r="A39" t="s">
        <v>119</v>
      </c>
      <c r="B39" t="s">
        <v>120</v>
      </c>
      <c r="C39">
        <v>7</v>
      </c>
      <c r="D39" t="s">
        <v>13</v>
      </c>
      <c r="E39" s="2">
        <v>45636</v>
      </c>
      <c r="F39" s="2">
        <v>45637</v>
      </c>
      <c r="G39" t="s">
        <v>50</v>
      </c>
      <c r="H39" t="s">
        <v>121</v>
      </c>
      <c r="I39" s="3">
        <v>946.04</v>
      </c>
      <c r="J39" s="4">
        <v>90</v>
      </c>
      <c r="K39" t="s">
        <v>21</v>
      </c>
      <c r="L39">
        <f t="shared" si="0"/>
        <v>1</v>
      </c>
      <c r="M39" t="str">
        <f t="shared" si="1"/>
        <v>0–17</v>
      </c>
    </row>
    <row r="40" spans="1:13">
      <c r="A40" t="s">
        <v>122</v>
      </c>
      <c r="B40" t="s">
        <v>123</v>
      </c>
      <c r="C40">
        <v>4</v>
      </c>
      <c r="D40" t="s">
        <v>13</v>
      </c>
      <c r="E40" s="2">
        <v>45952</v>
      </c>
      <c r="F40" s="2">
        <v>45955</v>
      </c>
      <c r="G40" t="s">
        <v>50</v>
      </c>
      <c r="H40" t="s">
        <v>124</v>
      </c>
      <c r="I40" s="3">
        <v>3976.01</v>
      </c>
      <c r="J40" s="4">
        <v>60</v>
      </c>
      <c r="K40" t="s">
        <v>26</v>
      </c>
      <c r="L40">
        <f t="shared" si="0"/>
        <v>3</v>
      </c>
      <c r="M40" t="str">
        <f t="shared" si="1"/>
        <v>0–17</v>
      </c>
    </row>
    <row r="41" spans="1:13">
      <c r="A41" t="s">
        <v>125</v>
      </c>
      <c r="B41" t="s">
        <v>126</v>
      </c>
      <c r="C41">
        <v>81</v>
      </c>
      <c r="D41" t="s">
        <v>19</v>
      </c>
      <c r="E41" s="2">
        <v>45643</v>
      </c>
      <c r="F41" s="2">
        <v>45652</v>
      </c>
      <c r="G41" t="s">
        <v>14</v>
      </c>
      <c r="H41" t="s">
        <v>15</v>
      </c>
      <c r="I41" s="3">
        <v>26928.32</v>
      </c>
      <c r="J41" s="4">
        <v>70</v>
      </c>
      <c r="K41" t="s">
        <v>26</v>
      </c>
      <c r="L41">
        <f t="shared" si="0"/>
        <v>9</v>
      </c>
      <c r="M41" t="str">
        <f t="shared" si="1"/>
        <v>65+</v>
      </c>
    </row>
    <row r="42" spans="1:13">
      <c r="A42" t="s">
        <v>127</v>
      </c>
      <c r="B42" t="s">
        <v>128</v>
      </c>
      <c r="C42">
        <v>81</v>
      </c>
      <c r="D42" t="s">
        <v>19</v>
      </c>
      <c r="E42" s="2">
        <v>45701</v>
      </c>
      <c r="F42" s="2">
        <v>45706</v>
      </c>
      <c r="G42" t="s">
        <v>14</v>
      </c>
      <c r="H42" t="s">
        <v>103</v>
      </c>
      <c r="I42" s="3">
        <v>7203.24</v>
      </c>
      <c r="J42" s="4">
        <v>70</v>
      </c>
      <c r="K42" t="s">
        <v>16</v>
      </c>
      <c r="L42">
        <f t="shared" si="0"/>
        <v>5</v>
      </c>
      <c r="M42" t="str">
        <f t="shared" si="1"/>
        <v>65+</v>
      </c>
    </row>
    <row r="43" spans="1:13">
      <c r="A43" t="s">
        <v>129</v>
      </c>
      <c r="B43" t="s">
        <v>130</v>
      </c>
      <c r="C43">
        <v>14</v>
      </c>
      <c r="D43" t="s">
        <v>19</v>
      </c>
      <c r="E43" s="2">
        <v>45979</v>
      </c>
      <c r="F43" s="2">
        <v>45983</v>
      </c>
      <c r="G43" t="s">
        <v>50</v>
      </c>
      <c r="H43" t="s">
        <v>131</v>
      </c>
      <c r="I43" s="3">
        <v>5685.06</v>
      </c>
      <c r="J43" s="4">
        <v>80</v>
      </c>
      <c r="K43" t="s">
        <v>16</v>
      </c>
      <c r="L43">
        <f t="shared" si="0"/>
        <v>4</v>
      </c>
      <c r="M43" t="str">
        <f t="shared" si="1"/>
        <v>0–17</v>
      </c>
    </row>
    <row r="44" spans="1:13">
      <c r="A44" t="s">
        <v>132</v>
      </c>
      <c r="B44" t="s">
        <v>133</v>
      </c>
      <c r="C44">
        <v>73</v>
      </c>
      <c r="D44" t="s">
        <v>19</v>
      </c>
      <c r="E44" s="2">
        <v>45905</v>
      </c>
      <c r="F44" s="2">
        <v>45908</v>
      </c>
      <c r="G44" t="s">
        <v>61</v>
      </c>
      <c r="H44" t="s">
        <v>134</v>
      </c>
      <c r="I44" s="3">
        <v>4949.0600000000004</v>
      </c>
      <c r="J44" s="4">
        <v>50</v>
      </c>
      <c r="K44" t="s">
        <v>16</v>
      </c>
      <c r="L44">
        <f t="shared" si="0"/>
        <v>3</v>
      </c>
      <c r="M44" t="str">
        <f t="shared" si="1"/>
        <v>65+</v>
      </c>
    </row>
    <row r="45" spans="1:13">
      <c r="A45" t="s">
        <v>135</v>
      </c>
      <c r="B45" t="s">
        <v>82</v>
      </c>
      <c r="C45">
        <v>50</v>
      </c>
      <c r="D45" t="s">
        <v>13</v>
      </c>
      <c r="E45" s="2">
        <v>45638</v>
      </c>
      <c r="F45" s="2">
        <v>45642</v>
      </c>
      <c r="G45" t="s">
        <v>61</v>
      </c>
      <c r="H45" t="s">
        <v>78</v>
      </c>
      <c r="I45" s="3">
        <v>5586.28</v>
      </c>
      <c r="J45" s="4">
        <v>90</v>
      </c>
      <c r="K45" t="s">
        <v>16</v>
      </c>
      <c r="L45">
        <f t="shared" si="0"/>
        <v>4</v>
      </c>
      <c r="M45" t="str">
        <f t="shared" si="1"/>
        <v>50–64</v>
      </c>
    </row>
    <row r="46" spans="1:13">
      <c r="A46" t="s">
        <v>136</v>
      </c>
      <c r="B46" t="s">
        <v>137</v>
      </c>
      <c r="C46">
        <v>73</v>
      </c>
      <c r="D46" t="s">
        <v>19</v>
      </c>
      <c r="E46" s="2">
        <v>45490</v>
      </c>
      <c r="F46" s="2">
        <v>45491</v>
      </c>
      <c r="G46" t="s">
        <v>32</v>
      </c>
      <c r="H46" t="s">
        <v>54</v>
      </c>
      <c r="I46" s="3">
        <v>766.8</v>
      </c>
      <c r="J46" s="4">
        <v>60</v>
      </c>
      <c r="K46" t="s">
        <v>21</v>
      </c>
      <c r="L46">
        <f t="shared" si="0"/>
        <v>1</v>
      </c>
      <c r="M46" t="str">
        <f t="shared" si="1"/>
        <v>65+</v>
      </c>
    </row>
    <row r="47" spans="1:13">
      <c r="A47" t="s">
        <v>138</v>
      </c>
      <c r="B47" t="s">
        <v>117</v>
      </c>
      <c r="C47">
        <v>60</v>
      </c>
      <c r="D47" t="s">
        <v>19</v>
      </c>
      <c r="E47" s="2">
        <v>45425</v>
      </c>
      <c r="F47" s="2">
        <v>45438</v>
      </c>
      <c r="G47" t="s">
        <v>61</v>
      </c>
      <c r="H47" t="s">
        <v>75</v>
      </c>
      <c r="I47" s="3">
        <v>28480.18</v>
      </c>
      <c r="J47" s="4">
        <v>70</v>
      </c>
      <c r="K47" t="s">
        <v>16</v>
      </c>
      <c r="L47">
        <f t="shared" si="0"/>
        <v>13</v>
      </c>
      <c r="M47" t="str">
        <f t="shared" si="1"/>
        <v>50–64</v>
      </c>
    </row>
    <row r="48" spans="1:13">
      <c r="A48" t="s">
        <v>139</v>
      </c>
      <c r="B48" t="s">
        <v>140</v>
      </c>
      <c r="C48">
        <v>37</v>
      </c>
      <c r="D48" t="s">
        <v>19</v>
      </c>
      <c r="E48" s="2">
        <v>45663</v>
      </c>
      <c r="F48" s="2">
        <v>45665</v>
      </c>
      <c r="G48" t="s">
        <v>32</v>
      </c>
      <c r="H48" t="s">
        <v>115</v>
      </c>
      <c r="I48" s="3">
        <v>1098.9100000000001</v>
      </c>
      <c r="J48" s="4">
        <v>70</v>
      </c>
      <c r="K48" t="s">
        <v>21</v>
      </c>
      <c r="L48">
        <f t="shared" si="0"/>
        <v>2</v>
      </c>
      <c r="M48" t="str">
        <f t="shared" si="1"/>
        <v>35–49</v>
      </c>
    </row>
    <row r="49" spans="1:13">
      <c r="A49" t="s">
        <v>141</v>
      </c>
      <c r="B49" t="s">
        <v>142</v>
      </c>
      <c r="C49">
        <v>54</v>
      </c>
      <c r="D49" t="s">
        <v>13</v>
      </c>
      <c r="E49" s="2">
        <v>45966</v>
      </c>
      <c r="F49" s="2">
        <v>45976</v>
      </c>
      <c r="G49" t="s">
        <v>61</v>
      </c>
      <c r="H49" t="s">
        <v>143</v>
      </c>
      <c r="I49" s="3">
        <v>22377.119999999999</v>
      </c>
      <c r="J49" s="4">
        <v>80</v>
      </c>
      <c r="K49" t="s">
        <v>16</v>
      </c>
      <c r="L49">
        <f t="shared" si="0"/>
        <v>10</v>
      </c>
      <c r="M49" t="str">
        <f t="shared" si="1"/>
        <v>50–64</v>
      </c>
    </row>
    <row r="50" spans="1:13">
      <c r="A50" t="s">
        <v>144</v>
      </c>
      <c r="B50" t="s">
        <v>145</v>
      </c>
      <c r="C50">
        <v>1</v>
      </c>
      <c r="D50" t="s">
        <v>13</v>
      </c>
      <c r="E50" s="2">
        <v>45545</v>
      </c>
      <c r="F50" s="2">
        <v>45549</v>
      </c>
      <c r="G50" t="s">
        <v>50</v>
      </c>
      <c r="H50" t="s">
        <v>121</v>
      </c>
      <c r="I50" s="3">
        <v>3895.9</v>
      </c>
      <c r="J50" s="4">
        <v>0</v>
      </c>
      <c r="K50" t="s">
        <v>21</v>
      </c>
      <c r="L50">
        <f t="shared" si="0"/>
        <v>4</v>
      </c>
      <c r="M50" t="str">
        <f t="shared" si="1"/>
        <v>0–17</v>
      </c>
    </row>
    <row r="51" spans="1:13">
      <c r="A51" t="s">
        <v>146</v>
      </c>
      <c r="B51" t="s">
        <v>147</v>
      </c>
      <c r="C51">
        <v>51</v>
      </c>
      <c r="D51" t="s">
        <v>13</v>
      </c>
      <c r="E51" s="2">
        <v>45920</v>
      </c>
      <c r="F51" s="2">
        <v>45929</v>
      </c>
      <c r="G51" t="s">
        <v>61</v>
      </c>
      <c r="H51" t="s">
        <v>143</v>
      </c>
      <c r="I51" s="3">
        <v>10684</v>
      </c>
      <c r="J51" s="4">
        <v>60</v>
      </c>
      <c r="K51" t="s">
        <v>16</v>
      </c>
      <c r="L51">
        <f t="shared" si="0"/>
        <v>9</v>
      </c>
      <c r="M51" t="str">
        <f t="shared" si="1"/>
        <v>50–64</v>
      </c>
    </row>
    <row r="52" spans="1:13">
      <c r="A52" t="s">
        <v>148</v>
      </c>
      <c r="B52" t="s">
        <v>149</v>
      </c>
      <c r="C52">
        <v>23</v>
      </c>
      <c r="D52" t="s">
        <v>19</v>
      </c>
      <c r="E52" s="2">
        <v>45479</v>
      </c>
      <c r="F52" s="2">
        <v>45483</v>
      </c>
      <c r="G52" t="s">
        <v>32</v>
      </c>
      <c r="H52" t="s">
        <v>36</v>
      </c>
      <c r="I52" s="3">
        <v>3643.5</v>
      </c>
      <c r="J52" s="4">
        <v>70</v>
      </c>
      <c r="K52" t="s">
        <v>26</v>
      </c>
      <c r="L52">
        <f t="shared" si="0"/>
        <v>4</v>
      </c>
      <c r="M52" t="str">
        <f t="shared" si="1"/>
        <v>18–34</v>
      </c>
    </row>
    <row r="53" spans="1:13">
      <c r="A53" t="s">
        <v>150</v>
      </c>
      <c r="B53" t="s">
        <v>151</v>
      </c>
      <c r="C53">
        <v>67</v>
      </c>
      <c r="D53" t="s">
        <v>19</v>
      </c>
      <c r="E53" s="2">
        <v>45575</v>
      </c>
      <c r="F53" s="2">
        <v>45578</v>
      </c>
      <c r="G53" t="s">
        <v>24</v>
      </c>
      <c r="H53" t="s">
        <v>25</v>
      </c>
      <c r="I53" s="3">
        <v>5702.96</v>
      </c>
      <c r="J53" s="4">
        <v>80</v>
      </c>
      <c r="K53" t="s">
        <v>16</v>
      </c>
      <c r="L53">
        <f t="shared" si="0"/>
        <v>3</v>
      </c>
      <c r="M53" t="str">
        <f t="shared" si="1"/>
        <v>65+</v>
      </c>
    </row>
    <row r="54" spans="1:13">
      <c r="A54" t="s">
        <v>152</v>
      </c>
      <c r="B54" t="s">
        <v>153</v>
      </c>
      <c r="C54">
        <v>63</v>
      </c>
      <c r="D54" t="s">
        <v>13</v>
      </c>
      <c r="E54" s="2">
        <v>45905</v>
      </c>
      <c r="F54" s="2">
        <v>45912</v>
      </c>
      <c r="G54" t="s">
        <v>14</v>
      </c>
      <c r="H54" t="s">
        <v>20</v>
      </c>
      <c r="I54" s="3">
        <v>18049.650000000001</v>
      </c>
      <c r="J54" s="4">
        <v>80</v>
      </c>
      <c r="K54" t="s">
        <v>16</v>
      </c>
      <c r="L54">
        <f t="shared" si="0"/>
        <v>7</v>
      </c>
      <c r="M54" t="str">
        <f t="shared" si="1"/>
        <v>50–64</v>
      </c>
    </row>
    <row r="55" spans="1:13">
      <c r="A55" t="s">
        <v>154</v>
      </c>
      <c r="B55" t="s">
        <v>155</v>
      </c>
      <c r="C55">
        <v>59</v>
      </c>
      <c r="D55" t="s">
        <v>13</v>
      </c>
      <c r="E55" s="2">
        <v>45751</v>
      </c>
      <c r="F55" s="2">
        <v>45757</v>
      </c>
      <c r="G55" t="s">
        <v>14</v>
      </c>
      <c r="H55" t="s">
        <v>15</v>
      </c>
      <c r="I55" s="3">
        <v>16488.400000000001</v>
      </c>
      <c r="J55" s="4">
        <v>80</v>
      </c>
      <c r="K55" t="s">
        <v>16</v>
      </c>
      <c r="L55">
        <f t="shared" si="0"/>
        <v>6</v>
      </c>
      <c r="M55" t="str">
        <f t="shared" si="1"/>
        <v>50–64</v>
      </c>
    </row>
    <row r="56" spans="1:13">
      <c r="A56" t="s">
        <v>156</v>
      </c>
      <c r="B56" t="s">
        <v>157</v>
      </c>
      <c r="C56">
        <v>64</v>
      </c>
      <c r="D56" t="s">
        <v>19</v>
      </c>
      <c r="E56" s="2">
        <v>45662</v>
      </c>
      <c r="F56" s="2">
        <v>45670</v>
      </c>
      <c r="G56" t="s">
        <v>71</v>
      </c>
      <c r="H56" t="s">
        <v>158</v>
      </c>
      <c r="I56" s="3">
        <v>18217.14</v>
      </c>
      <c r="J56" s="4">
        <v>50</v>
      </c>
      <c r="K56" t="s">
        <v>26</v>
      </c>
      <c r="L56">
        <f t="shared" si="0"/>
        <v>8</v>
      </c>
      <c r="M56" t="str">
        <f t="shared" si="1"/>
        <v>50–64</v>
      </c>
    </row>
    <row r="57" spans="1:13">
      <c r="A57" t="s">
        <v>159</v>
      </c>
      <c r="B57" t="s">
        <v>160</v>
      </c>
      <c r="C57">
        <v>60</v>
      </c>
      <c r="D57" t="s">
        <v>13</v>
      </c>
      <c r="E57" s="2">
        <v>45608</v>
      </c>
      <c r="F57" s="2">
        <v>45619</v>
      </c>
      <c r="G57" t="s">
        <v>61</v>
      </c>
      <c r="H57" t="s">
        <v>75</v>
      </c>
      <c r="I57" s="3">
        <v>16175.09</v>
      </c>
      <c r="J57" s="4">
        <v>80</v>
      </c>
      <c r="K57" t="s">
        <v>21</v>
      </c>
      <c r="L57">
        <f t="shared" si="0"/>
        <v>11</v>
      </c>
      <c r="M57" t="str">
        <f t="shared" si="1"/>
        <v>50–64</v>
      </c>
    </row>
    <row r="58" spans="1:13">
      <c r="A58" t="s">
        <v>161</v>
      </c>
      <c r="B58" t="s">
        <v>162</v>
      </c>
      <c r="C58">
        <v>77</v>
      </c>
      <c r="D58" t="s">
        <v>19</v>
      </c>
      <c r="E58" s="2">
        <v>45372</v>
      </c>
      <c r="F58" s="2">
        <v>45380</v>
      </c>
      <c r="G58" t="s">
        <v>14</v>
      </c>
      <c r="H58" t="s">
        <v>15</v>
      </c>
      <c r="I58" s="3">
        <v>12858.55</v>
      </c>
      <c r="J58" s="4">
        <v>80</v>
      </c>
      <c r="K58" t="s">
        <v>21</v>
      </c>
      <c r="L58">
        <f t="shared" si="0"/>
        <v>8</v>
      </c>
      <c r="M58" t="str">
        <f t="shared" si="1"/>
        <v>65+</v>
      </c>
    </row>
    <row r="59" spans="1:13">
      <c r="A59" t="s">
        <v>163</v>
      </c>
      <c r="B59" t="s">
        <v>164</v>
      </c>
      <c r="C59">
        <v>29</v>
      </c>
      <c r="D59" t="s">
        <v>13</v>
      </c>
      <c r="E59" s="2">
        <v>45782</v>
      </c>
      <c r="F59" s="2">
        <v>45796</v>
      </c>
      <c r="G59" t="s">
        <v>61</v>
      </c>
      <c r="H59" t="s">
        <v>75</v>
      </c>
      <c r="I59" s="3">
        <v>14617.11</v>
      </c>
      <c r="J59" s="4">
        <v>0</v>
      </c>
      <c r="K59" t="s">
        <v>26</v>
      </c>
      <c r="L59">
        <f t="shared" si="0"/>
        <v>14</v>
      </c>
      <c r="M59" t="str">
        <f t="shared" si="1"/>
        <v>18–34</v>
      </c>
    </row>
    <row r="60" spans="1:13">
      <c r="A60" t="s">
        <v>165</v>
      </c>
      <c r="B60" t="s">
        <v>120</v>
      </c>
      <c r="C60">
        <v>77</v>
      </c>
      <c r="D60" t="s">
        <v>13</v>
      </c>
      <c r="E60" s="2">
        <v>45331</v>
      </c>
      <c r="F60" s="2">
        <v>45338</v>
      </c>
      <c r="G60" t="s">
        <v>14</v>
      </c>
      <c r="H60" t="s">
        <v>166</v>
      </c>
      <c r="I60" s="3">
        <v>8848.16</v>
      </c>
      <c r="J60" s="4">
        <v>90</v>
      </c>
      <c r="K60" t="s">
        <v>16</v>
      </c>
      <c r="L60">
        <f t="shared" si="0"/>
        <v>7</v>
      </c>
      <c r="M60" t="str">
        <f t="shared" si="1"/>
        <v>65+</v>
      </c>
    </row>
    <row r="61" spans="1:13">
      <c r="A61" t="s">
        <v>167</v>
      </c>
      <c r="B61" t="s">
        <v>90</v>
      </c>
      <c r="C61">
        <v>38</v>
      </c>
      <c r="D61" t="s">
        <v>13</v>
      </c>
      <c r="E61" s="2">
        <v>45435</v>
      </c>
      <c r="F61" s="2">
        <v>45437</v>
      </c>
      <c r="G61" t="s">
        <v>24</v>
      </c>
      <c r="H61" t="s">
        <v>83</v>
      </c>
      <c r="I61" s="3">
        <v>4529.29</v>
      </c>
      <c r="J61" s="4">
        <v>60</v>
      </c>
      <c r="K61" t="s">
        <v>26</v>
      </c>
      <c r="L61">
        <f t="shared" si="0"/>
        <v>2</v>
      </c>
      <c r="M61" t="str">
        <f t="shared" si="1"/>
        <v>35–49</v>
      </c>
    </row>
    <row r="62" spans="1:13">
      <c r="A62" t="s">
        <v>168</v>
      </c>
      <c r="B62" t="s">
        <v>169</v>
      </c>
      <c r="C62">
        <v>43</v>
      </c>
      <c r="D62" t="s">
        <v>19</v>
      </c>
      <c r="E62" s="2">
        <v>45608</v>
      </c>
      <c r="F62" s="2">
        <v>45610</v>
      </c>
      <c r="G62" t="s">
        <v>32</v>
      </c>
      <c r="H62" t="s">
        <v>54</v>
      </c>
      <c r="I62" s="3">
        <v>1655.08</v>
      </c>
      <c r="J62" s="4">
        <v>80</v>
      </c>
      <c r="K62" t="s">
        <v>16</v>
      </c>
      <c r="L62">
        <f t="shared" si="0"/>
        <v>2</v>
      </c>
      <c r="M62" t="str">
        <f t="shared" si="1"/>
        <v>35–49</v>
      </c>
    </row>
    <row r="63" spans="1:13">
      <c r="A63" t="s">
        <v>170</v>
      </c>
      <c r="B63" t="s">
        <v>171</v>
      </c>
      <c r="C63">
        <v>16</v>
      </c>
      <c r="D63" t="s">
        <v>13</v>
      </c>
      <c r="E63" s="2">
        <v>45776</v>
      </c>
      <c r="F63" s="2">
        <v>45777</v>
      </c>
      <c r="G63" t="s">
        <v>50</v>
      </c>
      <c r="H63" t="s">
        <v>121</v>
      </c>
      <c r="I63" s="3">
        <v>1165.3699999999999</v>
      </c>
      <c r="J63" s="4">
        <v>80</v>
      </c>
      <c r="K63" t="s">
        <v>21</v>
      </c>
      <c r="L63">
        <f t="shared" si="0"/>
        <v>1</v>
      </c>
      <c r="M63" t="str">
        <f t="shared" si="1"/>
        <v>0–17</v>
      </c>
    </row>
    <row r="64" spans="1:13">
      <c r="A64" t="s">
        <v>172</v>
      </c>
      <c r="B64" t="s">
        <v>173</v>
      </c>
      <c r="C64">
        <v>47</v>
      </c>
      <c r="D64" t="s">
        <v>19</v>
      </c>
      <c r="E64" s="2">
        <v>45771</v>
      </c>
      <c r="F64" s="2">
        <v>45775</v>
      </c>
      <c r="G64" t="s">
        <v>14</v>
      </c>
      <c r="H64" t="s">
        <v>166</v>
      </c>
      <c r="I64" s="3">
        <v>5020.34</v>
      </c>
      <c r="J64" s="4">
        <v>80</v>
      </c>
      <c r="K64" t="s">
        <v>16</v>
      </c>
      <c r="L64">
        <f t="shared" si="0"/>
        <v>4</v>
      </c>
      <c r="M64" t="str">
        <f t="shared" si="1"/>
        <v>35–49</v>
      </c>
    </row>
    <row r="65" spans="1:13">
      <c r="A65" t="s">
        <v>174</v>
      </c>
      <c r="B65" t="s">
        <v>114</v>
      </c>
      <c r="C65">
        <v>5</v>
      </c>
      <c r="D65" t="s">
        <v>19</v>
      </c>
      <c r="E65" s="2">
        <v>45405</v>
      </c>
      <c r="F65" s="2">
        <v>45408</v>
      </c>
      <c r="G65" t="s">
        <v>50</v>
      </c>
      <c r="H65" t="s">
        <v>124</v>
      </c>
      <c r="I65" s="3">
        <v>4344.45</v>
      </c>
      <c r="J65" s="4">
        <v>100</v>
      </c>
      <c r="K65" t="s">
        <v>16</v>
      </c>
      <c r="L65">
        <f t="shared" si="0"/>
        <v>3</v>
      </c>
      <c r="M65" t="str">
        <f t="shared" si="1"/>
        <v>0–17</v>
      </c>
    </row>
    <row r="66" spans="1:13">
      <c r="A66" t="s">
        <v>175</v>
      </c>
      <c r="B66" t="s">
        <v>176</v>
      </c>
      <c r="C66">
        <v>40</v>
      </c>
      <c r="D66" t="s">
        <v>19</v>
      </c>
      <c r="E66" s="2">
        <v>45942</v>
      </c>
      <c r="F66" s="2">
        <v>45951</v>
      </c>
      <c r="G66" t="s">
        <v>14</v>
      </c>
      <c r="H66" t="s">
        <v>166</v>
      </c>
      <c r="I66" s="3">
        <v>11900.88</v>
      </c>
      <c r="J66" s="4">
        <v>80</v>
      </c>
      <c r="K66" t="s">
        <v>21</v>
      </c>
      <c r="L66">
        <f t="shared" si="0"/>
        <v>9</v>
      </c>
      <c r="M66" t="str">
        <f t="shared" si="1"/>
        <v>35–49</v>
      </c>
    </row>
    <row r="67" spans="1:13">
      <c r="A67" t="s">
        <v>177</v>
      </c>
      <c r="B67" t="s">
        <v>178</v>
      </c>
      <c r="C67">
        <v>67</v>
      </c>
      <c r="D67" t="s">
        <v>13</v>
      </c>
      <c r="E67" s="2">
        <v>45681</v>
      </c>
      <c r="F67" s="2">
        <v>45690</v>
      </c>
      <c r="G67" t="s">
        <v>71</v>
      </c>
      <c r="H67" t="s">
        <v>95</v>
      </c>
      <c r="I67" s="3">
        <v>12380.25</v>
      </c>
      <c r="J67" s="4">
        <v>80</v>
      </c>
      <c r="K67" t="s">
        <v>16</v>
      </c>
      <c r="L67">
        <f t="shared" ref="L67:L130" si="2">F67-E67</f>
        <v>9</v>
      </c>
      <c r="M67" t="str">
        <f t="shared" ref="M67:M130" si="3">IF(C67&lt;=17,"0–17",IF(C67&lt;=34,"18–34",IF(C67&lt;=49,"35–49",IF(C67&lt;=64,"50–64","65+"))))</f>
        <v>65+</v>
      </c>
    </row>
    <row r="68" spans="1:13">
      <c r="A68" t="s">
        <v>179</v>
      </c>
      <c r="B68" t="s">
        <v>180</v>
      </c>
      <c r="C68">
        <v>63</v>
      </c>
      <c r="D68" t="s">
        <v>13</v>
      </c>
      <c r="E68" s="2">
        <v>45986</v>
      </c>
      <c r="F68" s="2">
        <v>45990</v>
      </c>
      <c r="G68" t="s">
        <v>14</v>
      </c>
      <c r="H68" t="s">
        <v>112</v>
      </c>
      <c r="I68" s="3">
        <v>9509.74</v>
      </c>
      <c r="J68" s="4">
        <v>90</v>
      </c>
      <c r="K68" t="s">
        <v>16</v>
      </c>
      <c r="L68">
        <f t="shared" si="2"/>
        <v>4</v>
      </c>
      <c r="M68" t="str">
        <f t="shared" si="3"/>
        <v>50–64</v>
      </c>
    </row>
    <row r="69" spans="1:13">
      <c r="A69" t="s">
        <v>181</v>
      </c>
      <c r="B69" t="s">
        <v>182</v>
      </c>
      <c r="C69">
        <v>60</v>
      </c>
      <c r="D69" t="s">
        <v>19</v>
      </c>
      <c r="E69" s="2">
        <v>45731</v>
      </c>
      <c r="F69" s="2">
        <v>45735</v>
      </c>
      <c r="G69" t="s">
        <v>71</v>
      </c>
      <c r="H69" t="s">
        <v>158</v>
      </c>
      <c r="I69" s="3">
        <v>6803.88</v>
      </c>
      <c r="J69" s="4">
        <v>80</v>
      </c>
      <c r="K69" t="s">
        <v>16</v>
      </c>
      <c r="L69">
        <f t="shared" si="2"/>
        <v>4</v>
      </c>
      <c r="M69" t="str">
        <f t="shared" si="3"/>
        <v>50–64</v>
      </c>
    </row>
    <row r="70" spans="1:13">
      <c r="A70" t="s">
        <v>183</v>
      </c>
      <c r="B70" t="s">
        <v>184</v>
      </c>
      <c r="C70">
        <v>67</v>
      </c>
      <c r="D70" t="s">
        <v>19</v>
      </c>
      <c r="E70" s="2">
        <v>45436</v>
      </c>
      <c r="F70" s="2">
        <v>45447</v>
      </c>
      <c r="G70" t="s">
        <v>61</v>
      </c>
      <c r="H70" t="s">
        <v>75</v>
      </c>
      <c r="I70" s="3">
        <v>23530.58</v>
      </c>
      <c r="J70" s="4">
        <v>80</v>
      </c>
      <c r="K70" t="s">
        <v>26</v>
      </c>
      <c r="L70">
        <f t="shared" si="2"/>
        <v>11</v>
      </c>
      <c r="M70" t="str">
        <f t="shared" si="3"/>
        <v>65+</v>
      </c>
    </row>
    <row r="71" spans="1:13">
      <c r="A71" t="s">
        <v>185</v>
      </c>
      <c r="B71" t="s">
        <v>186</v>
      </c>
      <c r="C71">
        <v>83</v>
      </c>
      <c r="D71" t="s">
        <v>13</v>
      </c>
      <c r="E71" s="2">
        <v>45752</v>
      </c>
      <c r="F71" s="2">
        <v>45753</v>
      </c>
      <c r="G71" t="s">
        <v>24</v>
      </c>
      <c r="H71" t="s">
        <v>42</v>
      </c>
      <c r="I71" s="3">
        <v>1108.28</v>
      </c>
      <c r="J71" s="4">
        <v>50</v>
      </c>
      <c r="K71" t="s">
        <v>16</v>
      </c>
      <c r="L71">
        <f t="shared" si="2"/>
        <v>1</v>
      </c>
      <c r="M71" t="str">
        <f t="shared" si="3"/>
        <v>65+</v>
      </c>
    </row>
    <row r="72" spans="1:13">
      <c r="A72" t="s">
        <v>187</v>
      </c>
      <c r="B72" t="s">
        <v>188</v>
      </c>
      <c r="C72">
        <v>69</v>
      </c>
      <c r="D72" t="s">
        <v>13</v>
      </c>
      <c r="E72" s="2">
        <v>46013</v>
      </c>
      <c r="F72" s="2">
        <v>46020</v>
      </c>
      <c r="G72" t="s">
        <v>14</v>
      </c>
      <c r="H72" t="s">
        <v>39</v>
      </c>
      <c r="I72" s="3">
        <v>15858.97</v>
      </c>
      <c r="J72" s="4">
        <v>80</v>
      </c>
      <c r="K72" t="s">
        <v>16</v>
      </c>
      <c r="L72">
        <f t="shared" si="2"/>
        <v>7</v>
      </c>
      <c r="M72" t="str">
        <f t="shared" si="3"/>
        <v>65+</v>
      </c>
    </row>
    <row r="73" spans="1:13">
      <c r="A73" t="s">
        <v>189</v>
      </c>
      <c r="B73" t="s">
        <v>190</v>
      </c>
      <c r="C73">
        <v>66</v>
      </c>
      <c r="D73" t="s">
        <v>13</v>
      </c>
      <c r="E73" s="2">
        <v>45676</v>
      </c>
      <c r="F73" s="2">
        <v>45690</v>
      </c>
      <c r="G73" t="s">
        <v>61</v>
      </c>
      <c r="H73" t="s">
        <v>98</v>
      </c>
      <c r="I73" s="3">
        <v>24022.14</v>
      </c>
      <c r="J73" s="4">
        <v>80</v>
      </c>
      <c r="K73" t="s">
        <v>26</v>
      </c>
      <c r="L73">
        <f t="shared" si="2"/>
        <v>14</v>
      </c>
      <c r="M73" t="str">
        <f t="shared" si="3"/>
        <v>65+</v>
      </c>
    </row>
    <row r="74" spans="1:13">
      <c r="A74" t="s">
        <v>191</v>
      </c>
      <c r="B74" t="s">
        <v>192</v>
      </c>
      <c r="C74">
        <v>29</v>
      </c>
      <c r="D74" t="s">
        <v>19</v>
      </c>
      <c r="E74" s="2">
        <v>45586</v>
      </c>
      <c r="F74" s="2">
        <v>45598</v>
      </c>
      <c r="G74" t="s">
        <v>61</v>
      </c>
      <c r="H74" t="s">
        <v>98</v>
      </c>
      <c r="I74" s="3">
        <v>13601.98</v>
      </c>
      <c r="J74" s="4">
        <v>80</v>
      </c>
      <c r="K74" t="s">
        <v>21</v>
      </c>
      <c r="L74">
        <f t="shared" si="2"/>
        <v>12</v>
      </c>
      <c r="M74" t="str">
        <f t="shared" si="3"/>
        <v>18–34</v>
      </c>
    </row>
    <row r="75" spans="1:13">
      <c r="A75" t="s">
        <v>193</v>
      </c>
      <c r="B75" t="s">
        <v>194</v>
      </c>
      <c r="C75">
        <v>48</v>
      </c>
      <c r="D75" t="s">
        <v>13</v>
      </c>
      <c r="E75" s="2">
        <v>45405</v>
      </c>
      <c r="F75" s="2">
        <v>45414</v>
      </c>
      <c r="G75" t="s">
        <v>71</v>
      </c>
      <c r="H75" t="s">
        <v>195</v>
      </c>
      <c r="I75" s="3">
        <v>11054.91</v>
      </c>
      <c r="J75" s="4">
        <v>80</v>
      </c>
      <c r="K75" t="s">
        <v>16</v>
      </c>
      <c r="L75">
        <f t="shared" si="2"/>
        <v>9</v>
      </c>
      <c r="M75" t="str">
        <f t="shared" si="3"/>
        <v>35–49</v>
      </c>
    </row>
    <row r="76" spans="1:13">
      <c r="A76" t="s">
        <v>196</v>
      </c>
      <c r="B76" t="s">
        <v>197</v>
      </c>
      <c r="C76">
        <v>71</v>
      </c>
      <c r="D76" t="s">
        <v>13</v>
      </c>
      <c r="E76" s="2">
        <v>45986</v>
      </c>
      <c r="F76" s="2">
        <v>45989</v>
      </c>
      <c r="G76" t="s">
        <v>24</v>
      </c>
      <c r="H76" t="s">
        <v>25</v>
      </c>
      <c r="I76" s="3">
        <v>4292.29</v>
      </c>
      <c r="J76" s="4">
        <v>70</v>
      </c>
      <c r="K76" t="s">
        <v>16</v>
      </c>
      <c r="L76">
        <f t="shared" si="2"/>
        <v>3</v>
      </c>
      <c r="M76" t="str">
        <f t="shared" si="3"/>
        <v>65+</v>
      </c>
    </row>
    <row r="77" spans="1:13">
      <c r="A77" t="s">
        <v>198</v>
      </c>
      <c r="B77" t="s">
        <v>199</v>
      </c>
      <c r="C77">
        <v>58</v>
      </c>
      <c r="D77" t="s">
        <v>19</v>
      </c>
      <c r="E77" s="2">
        <v>45969</v>
      </c>
      <c r="F77" s="2">
        <v>45978</v>
      </c>
      <c r="G77" t="s">
        <v>14</v>
      </c>
      <c r="H77" t="s">
        <v>166</v>
      </c>
      <c r="I77" s="3">
        <v>15148.04</v>
      </c>
      <c r="J77" s="4">
        <v>100</v>
      </c>
      <c r="K77" t="s">
        <v>16</v>
      </c>
      <c r="L77">
        <f t="shared" si="2"/>
        <v>9</v>
      </c>
      <c r="M77" t="str">
        <f t="shared" si="3"/>
        <v>50–64</v>
      </c>
    </row>
    <row r="78" spans="1:13">
      <c r="A78" t="s">
        <v>200</v>
      </c>
      <c r="B78" t="s">
        <v>201</v>
      </c>
      <c r="C78">
        <v>31</v>
      </c>
      <c r="D78" t="s">
        <v>19</v>
      </c>
      <c r="E78" s="2">
        <v>45748</v>
      </c>
      <c r="F78" s="2">
        <v>45755</v>
      </c>
      <c r="G78" t="s">
        <v>71</v>
      </c>
      <c r="H78" t="s">
        <v>158</v>
      </c>
      <c r="I78" s="3">
        <v>12486.34</v>
      </c>
      <c r="J78" s="4">
        <v>60</v>
      </c>
      <c r="K78" t="s">
        <v>21</v>
      </c>
      <c r="L78">
        <f t="shared" si="2"/>
        <v>7</v>
      </c>
      <c r="M78" t="str">
        <f t="shared" si="3"/>
        <v>18–34</v>
      </c>
    </row>
    <row r="79" spans="1:13">
      <c r="A79" t="s">
        <v>202</v>
      </c>
      <c r="B79" t="s">
        <v>117</v>
      </c>
      <c r="C79">
        <v>6</v>
      </c>
      <c r="D79" t="s">
        <v>19</v>
      </c>
      <c r="E79" s="2">
        <v>45986</v>
      </c>
      <c r="F79" s="2">
        <v>45991</v>
      </c>
      <c r="G79" t="s">
        <v>50</v>
      </c>
      <c r="H79" t="s">
        <v>124</v>
      </c>
      <c r="I79" s="3">
        <v>6755.47</v>
      </c>
      <c r="J79" s="4">
        <v>90</v>
      </c>
      <c r="K79" t="s">
        <v>16</v>
      </c>
      <c r="L79">
        <f t="shared" si="2"/>
        <v>5</v>
      </c>
      <c r="M79" t="str">
        <f t="shared" si="3"/>
        <v>0–17</v>
      </c>
    </row>
    <row r="80" spans="1:13">
      <c r="A80" t="s">
        <v>203</v>
      </c>
      <c r="B80" t="s">
        <v>204</v>
      </c>
      <c r="C80">
        <v>54</v>
      </c>
      <c r="D80" t="s">
        <v>19</v>
      </c>
      <c r="E80" s="2">
        <v>45903</v>
      </c>
      <c r="F80" s="2">
        <v>45905</v>
      </c>
      <c r="G80" t="s">
        <v>24</v>
      </c>
      <c r="H80" t="s">
        <v>205</v>
      </c>
      <c r="I80" s="3">
        <v>2919.13</v>
      </c>
      <c r="J80" s="4">
        <v>100</v>
      </c>
      <c r="K80" t="s">
        <v>16</v>
      </c>
      <c r="L80">
        <f t="shared" si="2"/>
        <v>2</v>
      </c>
      <c r="M80" t="str">
        <f t="shared" si="3"/>
        <v>50–64</v>
      </c>
    </row>
    <row r="81" spans="1:13">
      <c r="A81" t="s">
        <v>206</v>
      </c>
      <c r="B81" t="s">
        <v>207</v>
      </c>
      <c r="C81">
        <v>40</v>
      </c>
      <c r="D81" t="s">
        <v>19</v>
      </c>
      <c r="E81" s="2">
        <v>45843</v>
      </c>
      <c r="F81" s="2">
        <v>45857</v>
      </c>
      <c r="G81" t="s">
        <v>61</v>
      </c>
      <c r="H81" t="s">
        <v>75</v>
      </c>
      <c r="I81" s="3">
        <v>30241.53</v>
      </c>
      <c r="J81" s="4">
        <v>100</v>
      </c>
      <c r="K81" t="s">
        <v>16</v>
      </c>
      <c r="L81">
        <f t="shared" si="2"/>
        <v>14</v>
      </c>
      <c r="M81" t="str">
        <f t="shared" si="3"/>
        <v>35–49</v>
      </c>
    </row>
    <row r="82" spans="1:13">
      <c r="A82" t="s">
        <v>208</v>
      </c>
      <c r="B82" t="s">
        <v>209</v>
      </c>
      <c r="C82">
        <v>70</v>
      </c>
      <c r="D82" t="s">
        <v>19</v>
      </c>
      <c r="E82" s="2">
        <v>45483</v>
      </c>
      <c r="F82" s="2">
        <v>45490</v>
      </c>
      <c r="G82" t="s">
        <v>14</v>
      </c>
      <c r="H82" t="s">
        <v>112</v>
      </c>
      <c r="I82" s="3">
        <v>12489.15</v>
      </c>
      <c r="J82" s="4">
        <v>0</v>
      </c>
      <c r="K82" t="s">
        <v>21</v>
      </c>
      <c r="L82">
        <f t="shared" si="2"/>
        <v>7</v>
      </c>
      <c r="M82" t="str">
        <f t="shared" si="3"/>
        <v>65+</v>
      </c>
    </row>
    <row r="83" spans="1:13">
      <c r="A83" t="s">
        <v>210</v>
      </c>
      <c r="B83" t="s">
        <v>211</v>
      </c>
      <c r="C83">
        <v>34</v>
      </c>
      <c r="D83" t="s">
        <v>19</v>
      </c>
      <c r="E83" s="2">
        <v>45323</v>
      </c>
      <c r="F83" s="2">
        <v>45329</v>
      </c>
      <c r="G83" t="s">
        <v>61</v>
      </c>
      <c r="H83" t="s">
        <v>134</v>
      </c>
      <c r="I83" s="3">
        <v>12813.71</v>
      </c>
      <c r="J83" s="4">
        <v>70</v>
      </c>
      <c r="K83" t="s">
        <v>16</v>
      </c>
      <c r="L83">
        <f t="shared" si="2"/>
        <v>6</v>
      </c>
      <c r="M83" t="str">
        <f t="shared" si="3"/>
        <v>18–34</v>
      </c>
    </row>
    <row r="84" spans="1:13">
      <c r="A84" t="s">
        <v>212</v>
      </c>
      <c r="B84" t="s">
        <v>213</v>
      </c>
      <c r="C84">
        <v>62</v>
      </c>
      <c r="D84" t="s">
        <v>19</v>
      </c>
      <c r="E84" s="2">
        <v>45408</v>
      </c>
      <c r="F84" s="2">
        <v>45413</v>
      </c>
      <c r="G84" t="s">
        <v>61</v>
      </c>
      <c r="H84" t="s">
        <v>134</v>
      </c>
      <c r="I84" s="3">
        <v>13205.04</v>
      </c>
      <c r="J84" s="4">
        <v>70</v>
      </c>
      <c r="K84" t="s">
        <v>16</v>
      </c>
      <c r="L84">
        <f t="shared" si="2"/>
        <v>5</v>
      </c>
      <c r="M84" t="str">
        <f t="shared" si="3"/>
        <v>50–64</v>
      </c>
    </row>
    <row r="85" spans="1:13">
      <c r="A85" t="s">
        <v>214</v>
      </c>
      <c r="B85" t="s">
        <v>215</v>
      </c>
      <c r="C85">
        <v>83</v>
      </c>
      <c r="D85" t="s">
        <v>13</v>
      </c>
      <c r="E85" s="2">
        <v>46013</v>
      </c>
      <c r="F85" s="2">
        <v>46020</v>
      </c>
      <c r="G85" t="s">
        <v>32</v>
      </c>
      <c r="H85" t="s">
        <v>33</v>
      </c>
      <c r="I85" s="3">
        <v>3620.28</v>
      </c>
      <c r="J85" s="4">
        <v>80</v>
      </c>
      <c r="K85" t="s">
        <v>16</v>
      </c>
      <c r="L85">
        <f t="shared" si="2"/>
        <v>7</v>
      </c>
      <c r="M85" t="str">
        <f t="shared" si="3"/>
        <v>65+</v>
      </c>
    </row>
    <row r="86" spans="1:13">
      <c r="A86" t="s">
        <v>216</v>
      </c>
      <c r="B86" t="s">
        <v>217</v>
      </c>
      <c r="C86">
        <v>76</v>
      </c>
      <c r="D86" t="s">
        <v>19</v>
      </c>
      <c r="E86" s="2">
        <v>45524</v>
      </c>
      <c r="F86" s="2">
        <v>45531</v>
      </c>
      <c r="G86" t="s">
        <v>32</v>
      </c>
      <c r="H86" t="s">
        <v>45</v>
      </c>
      <c r="I86" s="3">
        <v>7803.54</v>
      </c>
      <c r="J86" s="4">
        <v>70</v>
      </c>
      <c r="K86" t="s">
        <v>21</v>
      </c>
      <c r="L86">
        <f t="shared" si="2"/>
        <v>7</v>
      </c>
      <c r="M86" t="str">
        <f t="shared" si="3"/>
        <v>65+</v>
      </c>
    </row>
    <row r="87" spans="1:13">
      <c r="A87" t="s">
        <v>218</v>
      </c>
      <c r="B87" t="s">
        <v>219</v>
      </c>
      <c r="C87">
        <v>50</v>
      </c>
      <c r="D87" t="s">
        <v>19</v>
      </c>
      <c r="E87" s="2">
        <v>45659</v>
      </c>
      <c r="F87" s="2">
        <v>45667</v>
      </c>
      <c r="G87" t="s">
        <v>71</v>
      </c>
      <c r="H87" t="s">
        <v>72</v>
      </c>
      <c r="I87" s="3">
        <v>12412.35</v>
      </c>
      <c r="J87" s="4">
        <v>90</v>
      </c>
      <c r="K87" t="s">
        <v>26</v>
      </c>
      <c r="L87">
        <f t="shared" si="2"/>
        <v>8</v>
      </c>
      <c r="M87" t="str">
        <f t="shared" si="3"/>
        <v>50–64</v>
      </c>
    </row>
    <row r="88" spans="1:13">
      <c r="A88" t="s">
        <v>220</v>
      </c>
      <c r="B88" t="s">
        <v>221</v>
      </c>
      <c r="C88">
        <v>39</v>
      </c>
      <c r="D88" t="s">
        <v>19</v>
      </c>
      <c r="E88" s="2">
        <v>45989</v>
      </c>
      <c r="F88" s="2">
        <v>45991</v>
      </c>
      <c r="G88" t="s">
        <v>24</v>
      </c>
      <c r="H88" t="s">
        <v>222</v>
      </c>
      <c r="I88" s="3">
        <v>2598.06</v>
      </c>
      <c r="J88" s="4">
        <v>80</v>
      </c>
      <c r="K88" t="s">
        <v>16</v>
      </c>
      <c r="L88">
        <f t="shared" si="2"/>
        <v>2</v>
      </c>
      <c r="M88" t="str">
        <f t="shared" si="3"/>
        <v>35–49</v>
      </c>
    </row>
    <row r="89" spans="1:13">
      <c r="A89" t="s">
        <v>223</v>
      </c>
      <c r="B89" t="s">
        <v>224</v>
      </c>
      <c r="C89">
        <v>68</v>
      </c>
      <c r="D89" t="s">
        <v>13</v>
      </c>
      <c r="E89" s="2">
        <v>45720</v>
      </c>
      <c r="F89" s="2">
        <v>45727</v>
      </c>
      <c r="G89" t="s">
        <v>32</v>
      </c>
      <c r="H89" t="s">
        <v>115</v>
      </c>
      <c r="I89" s="3">
        <v>9165.89</v>
      </c>
      <c r="J89" s="4">
        <v>70</v>
      </c>
      <c r="K89" t="s">
        <v>16</v>
      </c>
      <c r="L89">
        <f t="shared" si="2"/>
        <v>7</v>
      </c>
      <c r="M89" t="str">
        <f t="shared" si="3"/>
        <v>65+</v>
      </c>
    </row>
    <row r="90" spans="1:13">
      <c r="A90" t="s">
        <v>225</v>
      </c>
      <c r="B90" t="s">
        <v>226</v>
      </c>
      <c r="C90">
        <v>55</v>
      </c>
      <c r="D90" t="s">
        <v>19</v>
      </c>
      <c r="E90" s="2">
        <v>45874</v>
      </c>
      <c r="F90" s="2">
        <v>45876</v>
      </c>
      <c r="G90" t="s">
        <v>24</v>
      </c>
      <c r="H90" t="s">
        <v>25</v>
      </c>
      <c r="I90" s="3">
        <v>2783.91</v>
      </c>
      <c r="J90" s="4">
        <v>70</v>
      </c>
      <c r="K90" t="s">
        <v>16</v>
      </c>
      <c r="L90">
        <f t="shared" si="2"/>
        <v>2</v>
      </c>
      <c r="M90" t="str">
        <f t="shared" si="3"/>
        <v>50–64</v>
      </c>
    </row>
    <row r="91" spans="1:13">
      <c r="A91" t="s">
        <v>227</v>
      </c>
      <c r="B91" t="s">
        <v>228</v>
      </c>
      <c r="C91">
        <v>71</v>
      </c>
      <c r="D91" t="s">
        <v>19</v>
      </c>
      <c r="E91" s="2">
        <v>45679</v>
      </c>
      <c r="F91" s="2">
        <v>45688</v>
      </c>
      <c r="G91" t="s">
        <v>14</v>
      </c>
      <c r="H91" t="s">
        <v>20</v>
      </c>
      <c r="I91" s="3">
        <v>23939.75</v>
      </c>
      <c r="J91" s="4">
        <v>60</v>
      </c>
      <c r="K91" t="s">
        <v>16</v>
      </c>
      <c r="L91">
        <f t="shared" si="2"/>
        <v>9</v>
      </c>
      <c r="M91" t="str">
        <f t="shared" si="3"/>
        <v>65+</v>
      </c>
    </row>
    <row r="92" spans="1:13">
      <c r="A92" t="s">
        <v>229</v>
      </c>
      <c r="B92" t="s">
        <v>230</v>
      </c>
      <c r="C92">
        <v>55</v>
      </c>
      <c r="D92" t="s">
        <v>19</v>
      </c>
      <c r="E92" s="2">
        <v>45778</v>
      </c>
      <c r="F92" s="2">
        <v>45786</v>
      </c>
      <c r="G92" t="s">
        <v>71</v>
      </c>
      <c r="H92" t="s">
        <v>158</v>
      </c>
      <c r="I92" s="3">
        <v>19244.54</v>
      </c>
      <c r="J92" s="4">
        <v>80</v>
      </c>
      <c r="K92" t="s">
        <v>16</v>
      </c>
      <c r="L92">
        <f t="shared" si="2"/>
        <v>8</v>
      </c>
      <c r="M92" t="str">
        <f t="shared" si="3"/>
        <v>50–64</v>
      </c>
    </row>
    <row r="93" spans="1:13">
      <c r="A93" t="s">
        <v>231</v>
      </c>
      <c r="B93" t="s">
        <v>232</v>
      </c>
      <c r="C93">
        <v>60</v>
      </c>
      <c r="D93" t="s">
        <v>19</v>
      </c>
      <c r="E93" s="2">
        <v>45490</v>
      </c>
      <c r="F93" s="2">
        <v>45499</v>
      </c>
      <c r="G93" t="s">
        <v>14</v>
      </c>
      <c r="H93" t="s">
        <v>15</v>
      </c>
      <c r="I93" s="3">
        <v>17194.91</v>
      </c>
      <c r="J93" s="4">
        <v>90</v>
      </c>
      <c r="K93" t="s">
        <v>16</v>
      </c>
      <c r="L93">
        <f t="shared" si="2"/>
        <v>9</v>
      </c>
      <c r="M93" t="str">
        <f t="shared" si="3"/>
        <v>50–64</v>
      </c>
    </row>
    <row r="94" spans="1:13">
      <c r="A94" t="s">
        <v>233</v>
      </c>
      <c r="B94" t="s">
        <v>234</v>
      </c>
      <c r="C94">
        <v>62</v>
      </c>
      <c r="D94" t="s">
        <v>13</v>
      </c>
      <c r="E94" s="2">
        <v>45530</v>
      </c>
      <c r="F94" s="2">
        <v>45533</v>
      </c>
      <c r="G94" t="s">
        <v>32</v>
      </c>
      <c r="H94" t="s">
        <v>235</v>
      </c>
      <c r="I94" s="3">
        <v>3707.77</v>
      </c>
      <c r="J94" s="4">
        <v>80</v>
      </c>
      <c r="K94" t="s">
        <v>16</v>
      </c>
      <c r="L94">
        <f t="shared" si="2"/>
        <v>3</v>
      </c>
      <c r="M94" t="str">
        <f t="shared" si="3"/>
        <v>50–64</v>
      </c>
    </row>
    <row r="95" spans="1:13">
      <c r="A95" t="s">
        <v>236</v>
      </c>
      <c r="B95" t="s">
        <v>237</v>
      </c>
      <c r="C95">
        <v>62</v>
      </c>
      <c r="D95" t="s">
        <v>19</v>
      </c>
      <c r="E95" s="2">
        <v>45895</v>
      </c>
      <c r="F95" s="2">
        <v>45901</v>
      </c>
      <c r="G95" t="s">
        <v>71</v>
      </c>
      <c r="H95" t="s">
        <v>238</v>
      </c>
      <c r="I95" s="3">
        <v>11445.42</v>
      </c>
      <c r="J95" s="4">
        <v>80</v>
      </c>
      <c r="K95" t="s">
        <v>21</v>
      </c>
      <c r="L95">
        <f t="shared" si="2"/>
        <v>6</v>
      </c>
      <c r="M95" t="str">
        <f t="shared" si="3"/>
        <v>50–64</v>
      </c>
    </row>
    <row r="96" spans="1:13">
      <c r="A96" t="s">
        <v>239</v>
      </c>
      <c r="B96" t="s">
        <v>240</v>
      </c>
      <c r="C96">
        <v>52</v>
      </c>
      <c r="D96" t="s">
        <v>13</v>
      </c>
      <c r="E96" s="2">
        <v>45775</v>
      </c>
      <c r="F96" s="2">
        <v>45777</v>
      </c>
      <c r="G96" t="s">
        <v>32</v>
      </c>
      <c r="H96" t="s">
        <v>33</v>
      </c>
      <c r="I96" s="3">
        <v>1587.61</v>
      </c>
      <c r="J96" s="4">
        <v>90</v>
      </c>
      <c r="K96" t="s">
        <v>21</v>
      </c>
      <c r="L96">
        <f t="shared" si="2"/>
        <v>2</v>
      </c>
      <c r="M96" t="str">
        <f t="shared" si="3"/>
        <v>50–64</v>
      </c>
    </row>
    <row r="97" spans="1:13">
      <c r="A97" t="s">
        <v>241</v>
      </c>
      <c r="B97" t="s">
        <v>242</v>
      </c>
      <c r="C97">
        <v>32</v>
      </c>
      <c r="D97" t="s">
        <v>13</v>
      </c>
      <c r="E97" s="2">
        <v>45589</v>
      </c>
      <c r="F97" s="2">
        <v>45591</v>
      </c>
      <c r="G97" t="s">
        <v>24</v>
      </c>
      <c r="H97" t="s">
        <v>83</v>
      </c>
      <c r="I97" s="3">
        <v>4946.29</v>
      </c>
      <c r="J97" s="4">
        <v>80</v>
      </c>
      <c r="K97" t="s">
        <v>16</v>
      </c>
      <c r="L97">
        <f t="shared" si="2"/>
        <v>2</v>
      </c>
      <c r="M97" t="str">
        <f t="shared" si="3"/>
        <v>18–34</v>
      </c>
    </row>
    <row r="98" spans="1:13">
      <c r="A98" t="s">
        <v>243</v>
      </c>
      <c r="B98" t="s">
        <v>244</v>
      </c>
      <c r="C98">
        <v>15</v>
      </c>
      <c r="D98" t="s">
        <v>13</v>
      </c>
      <c r="E98" s="2">
        <v>45594</v>
      </c>
      <c r="F98" s="2">
        <v>45597</v>
      </c>
      <c r="G98" t="s">
        <v>50</v>
      </c>
      <c r="H98" t="s">
        <v>124</v>
      </c>
      <c r="I98" s="3">
        <v>3757.58</v>
      </c>
      <c r="J98" s="4">
        <v>80</v>
      </c>
      <c r="K98" t="s">
        <v>16</v>
      </c>
      <c r="L98">
        <f t="shared" si="2"/>
        <v>3</v>
      </c>
      <c r="M98" t="str">
        <f t="shared" si="3"/>
        <v>0–17</v>
      </c>
    </row>
    <row r="99" spans="1:13">
      <c r="A99" t="s">
        <v>245</v>
      </c>
      <c r="B99" t="s">
        <v>246</v>
      </c>
      <c r="C99">
        <v>61</v>
      </c>
      <c r="D99" t="s">
        <v>13</v>
      </c>
      <c r="E99" s="2">
        <v>45765</v>
      </c>
      <c r="F99" s="2">
        <v>45770</v>
      </c>
      <c r="G99" t="s">
        <v>14</v>
      </c>
      <c r="H99" t="s">
        <v>112</v>
      </c>
      <c r="I99" s="3">
        <v>10173.43</v>
      </c>
      <c r="J99" s="4">
        <v>70</v>
      </c>
      <c r="K99" t="s">
        <v>26</v>
      </c>
      <c r="L99">
        <f t="shared" si="2"/>
        <v>5</v>
      </c>
      <c r="M99" t="str">
        <f t="shared" si="3"/>
        <v>50–64</v>
      </c>
    </row>
    <row r="100" spans="1:13">
      <c r="A100" t="s">
        <v>247</v>
      </c>
      <c r="B100" t="s">
        <v>248</v>
      </c>
      <c r="C100">
        <v>1</v>
      </c>
      <c r="D100" t="s">
        <v>19</v>
      </c>
      <c r="E100" s="2">
        <v>45646</v>
      </c>
      <c r="F100" s="2">
        <v>45651</v>
      </c>
      <c r="G100" t="s">
        <v>50</v>
      </c>
      <c r="H100" t="s">
        <v>124</v>
      </c>
      <c r="I100" s="3">
        <v>4626.03</v>
      </c>
      <c r="J100" s="4">
        <v>50</v>
      </c>
      <c r="K100" t="s">
        <v>21</v>
      </c>
      <c r="L100">
        <f t="shared" si="2"/>
        <v>5</v>
      </c>
      <c r="M100" t="str">
        <f t="shared" si="3"/>
        <v>0–17</v>
      </c>
    </row>
    <row r="101" spans="1:13">
      <c r="A101" t="s">
        <v>249</v>
      </c>
      <c r="B101" t="s">
        <v>162</v>
      </c>
      <c r="C101">
        <v>28</v>
      </c>
      <c r="D101" t="s">
        <v>19</v>
      </c>
      <c r="E101" s="2">
        <v>45612</v>
      </c>
      <c r="F101" s="2">
        <v>45615</v>
      </c>
      <c r="G101" t="s">
        <v>32</v>
      </c>
      <c r="H101" t="s">
        <v>88</v>
      </c>
      <c r="I101" s="3">
        <v>3159.6</v>
      </c>
      <c r="J101" s="4">
        <v>80</v>
      </c>
      <c r="K101" t="s">
        <v>16</v>
      </c>
      <c r="L101">
        <f t="shared" si="2"/>
        <v>3</v>
      </c>
      <c r="M101" t="str">
        <f t="shared" si="3"/>
        <v>18–34</v>
      </c>
    </row>
    <row r="102" spans="1:13">
      <c r="A102" t="s">
        <v>250</v>
      </c>
      <c r="B102" t="s">
        <v>251</v>
      </c>
      <c r="C102">
        <v>78</v>
      </c>
      <c r="D102" t="s">
        <v>13</v>
      </c>
      <c r="E102" s="2">
        <v>45326</v>
      </c>
      <c r="F102" s="2">
        <v>45329</v>
      </c>
      <c r="G102" t="s">
        <v>24</v>
      </c>
      <c r="H102" t="s">
        <v>42</v>
      </c>
      <c r="I102" s="3">
        <v>6630.7</v>
      </c>
      <c r="J102" s="4">
        <v>90</v>
      </c>
      <c r="K102" t="s">
        <v>16</v>
      </c>
      <c r="L102">
        <f t="shared" si="2"/>
        <v>3</v>
      </c>
      <c r="M102" t="str">
        <f t="shared" si="3"/>
        <v>65+</v>
      </c>
    </row>
    <row r="103" spans="1:13">
      <c r="A103" t="s">
        <v>252</v>
      </c>
      <c r="B103" t="s">
        <v>253</v>
      </c>
      <c r="C103">
        <v>51</v>
      </c>
      <c r="D103" t="s">
        <v>13</v>
      </c>
      <c r="E103" s="2">
        <v>45392</v>
      </c>
      <c r="F103" s="2">
        <v>45401</v>
      </c>
      <c r="G103" t="s">
        <v>71</v>
      </c>
      <c r="H103" t="s">
        <v>72</v>
      </c>
      <c r="I103" s="3">
        <v>17220.650000000001</v>
      </c>
      <c r="J103" s="4">
        <v>70</v>
      </c>
      <c r="K103" t="s">
        <v>26</v>
      </c>
      <c r="L103">
        <f t="shared" si="2"/>
        <v>9</v>
      </c>
      <c r="M103" t="str">
        <f t="shared" si="3"/>
        <v>50–64</v>
      </c>
    </row>
    <row r="104" spans="1:13">
      <c r="A104" t="s">
        <v>254</v>
      </c>
      <c r="B104" t="s">
        <v>255</v>
      </c>
      <c r="C104">
        <v>70</v>
      </c>
      <c r="D104" t="s">
        <v>13</v>
      </c>
      <c r="E104" s="2">
        <v>45347</v>
      </c>
      <c r="F104" s="2">
        <v>45352</v>
      </c>
      <c r="G104" t="s">
        <v>61</v>
      </c>
      <c r="H104" t="s">
        <v>98</v>
      </c>
      <c r="I104" s="3">
        <v>13557.6</v>
      </c>
      <c r="J104" s="4">
        <v>90</v>
      </c>
      <c r="K104" t="s">
        <v>16</v>
      </c>
      <c r="L104">
        <f t="shared" si="2"/>
        <v>5</v>
      </c>
      <c r="M104" t="str">
        <f t="shared" si="3"/>
        <v>65+</v>
      </c>
    </row>
    <row r="105" spans="1:13">
      <c r="A105" t="s">
        <v>256</v>
      </c>
      <c r="B105" t="s">
        <v>257</v>
      </c>
      <c r="C105">
        <v>51</v>
      </c>
      <c r="D105" t="s">
        <v>13</v>
      </c>
      <c r="E105" s="2">
        <v>45758</v>
      </c>
      <c r="F105" s="2">
        <v>45760</v>
      </c>
      <c r="G105" t="s">
        <v>32</v>
      </c>
      <c r="H105" t="s">
        <v>235</v>
      </c>
      <c r="I105" s="3">
        <v>1460.86</v>
      </c>
      <c r="J105" s="4">
        <v>70</v>
      </c>
      <c r="K105" t="s">
        <v>26</v>
      </c>
      <c r="L105">
        <f t="shared" si="2"/>
        <v>2</v>
      </c>
      <c r="M105" t="str">
        <f t="shared" si="3"/>
        <v>50–64</v>
      </c>
    </row>
    <row r="106" spans="1:13">
      <c r="A106" t="s">
        <v>258</v>
      </c>
      <c r="B106" t="s">
        <v>259</v>
      </c>
      <c r="C106">
        <v>57</v>
      </c>
      <c r="D106" t="s">
        <v>13</v>
      </c>
      <c r="E106" s="2">
        <v>45669</v>
      </c>
      <c r="F106" s="2">
        <v>45672</v>
      </c>
      <c r="G106" t="s">
        <v>71</v>
      </c>
      <c r="H106" t="s">
        <v>238</v>
      </c>
      <c r="I106" s="3">
        <v>5152.58</v>
      </c>
      <c r="J106" s="4">
        <v>0</v>
      </c>
      <c r="K106" t="s">
        <v>16</v>
      </c>
      <c r="L106">
        <f t="shared" si="2"/>
        <v>3</v>
      </c>
      <c r="M106" t="str">
        <f t="shared" si="3"/>
        <v>50–64</v>
      </c>
    </row>
    <row r="107" spans="1:13">
      <c r="A107" t="s">
        <v>260</v>
      </c>
      <c r="B107" t="s">
        <v>261</v>
      </c>
      <c r="C107">
        <v>37</v>
      </c>
      <c r="D107" t="s">
        <v>19</v>
      </c>
      <c r="E107" s="2">
        <v>45865</v>
      </c>
      <c r="F107" s="2">
        <v>45866</v>
      </c>
      <c r="G107" t="s">
        <v>24</v>
      </c>
      <c r="H107" t="s">
        <v>29</v>
      </c>
      <c r="I107" s="3">
        <v>954.61</v>
      </c>
      <c r="J107" s="4">
        <v>90</v>
      </c>
      <c r="K107" t="s">
        <v>16</v>
      </c>
      <c r="L107">
        <f t="shared" si="2"/>
        <v>1</v>
      </c>
      <c r="M107" t="str">
        <f t="shared" si="3"/>
        <v>35–49</v>
      </c>
    </row>
    <row r="108" spans="1:13">
      <c r="A108" t="s">
        <v>262</v>
      </c>
      <c r="B108" t="s">
        <v>263</v>
      </c>
      <c r="C108">
        <v>59</v>
      </c>
      <c r="D108" t="s">
        <v>13</v>
      </c>
      <c r="E108" s="2">
        <v>45703</v>
      </c>
      <c r="F108" s="2">
        <v>45709</v>
      </c>
      <c r="G108" t="s">
        <v>14</v>
      </c>
      <c r="H108" t="s">
        <v>112</v>
      </c>
      <c r="I108" s="3">
        <v>11951.45</v>
      </c>
      <c r="J108" s="4">
        <v>100</v>
      </c>
      <c r="K108" t="s">
        <v>16</v>
      </c>
      <c r="L108">
        <f t="shared" si="2"/>
        <v>6</v>
      </c>
      <c r="M108" t="str">
        <f t="shared" si="3"/>
        <v>50–64</v>
      </c>
    </row>
    <row r="109" spans="1:13">
      <c r="A109" t="s">
        <v>264</v>
      </c>
      <c r="B109" t="s">
        <v>180</v>
      </c>
      <c r="C109">
        <v>2</v>
      </c>
      <c r="D109" t="s">
        <v>13</v>
      </c>
      <c r="E109" s="2">
        <v>45391</v>
      </c>
      <c r="F109" s="2">
        <v>45393</v>
      </c>
      <c r="G109" t="s">
        <v>50</v>
      </c>
      <c r="H109" t="s">
        <v>124</v>
      </c>
      <c r="I109" s="3">
        <v>3169.16</v>
      </c>
      <c r="J109" s="4">
        <v>60</v>
      </c>
      <c r="K109" t="s">
        <v>21</v>
      </c>
      <c r="L109">
        <f t="shared" si="2"/>
        <v>2</v>
      </c>
      <c r="M109" t="str">
        <f t="shared" si="3"/>
        <v>0–17</v>
      </c>
    </row>
    <row r="110" spans="1:13">
      <c r="A110" t="s">
        <v>265</v>
      </c>
      <c r="B110" t="s">
        <v>266</v>
      </c>
      <c r="C110">
        <v>55</v>
      </c>
      <c r="D110" t="s">
        <v>13</v>
      </c>
      <c r="E110" s="2">
        <v>45784</v>
      </c>
      <c r="F110" s="2">
        <v>45785</v>
      </c>
      <c r="G110" t="s">
        <v>32</v>
      </c>
      <c r="H110" t="s">
        <v>88</v>
      </c>
      <c r="I110" s="3">
        <v>1178.75</v>
      </c>
      <c r="J110" s="4">
        <v>70</v>
      </c>
      <c r="K110" t="s">
        <v>16</v>
      </c>
      <c r="L110">
        <f t="shared" si="2"/>
        <v>1</v>
      </c>
      <c r="M110" t="str">
        <f t="shared" si="3"/>
        <v>50–64</v>
      </c>
    </row>
    <row r="111" spans="1:13">
      <c r="A111" t="s">
        <v>267</v>
      </c>
      <c r="B111" t="s">
        <v>268</v>
      </c>
      <c r="C111">
        <v>69</v>
      </c>
      <c r="D111" t="s">
        <v>13</v>
      </c>
      <c r="E111" s="2">
        <v>45402</v>
      </c>
      <c r="F111" s="2">
        <v>45405</v>
      </c>
      <c r="G111" t="s">
        <v>24</v>
      </c>
      <c r="H111" t="s">
        <v>25</v>
      </c>
      <c r="I111" s="3">
        <v>4895.09</v>
      </c>
      <c r="J111" s="4">
        <v>50</v>
      </c>
      <c r="K111" t="s">
        <v>26</v>
      </c>
      <c r="L111">
        <f t="shared" si="2"/>
        <v>3</v>
      </c>
      <c r="M111" t="str">
        <f t="shared" si="3"/>
        <v>65+</v>
      </c>
    </row>
    <row r="112" spans="1:13">
      <c r="A112" t="s">
        <v>269</v>
      </c>
      <c r="B112" t="s">
        <v>111</v>
      </c>
      <c r="C112">
        <v>2</v>
      </c>
      <c r="D112" t="s">
        <v>13</v>
      </c>
      <c r="E112" s="2">
        <v>45580</v>
      </c>
      <c r="F112" s="2">
        <v>45581</v>
      </c>
      <c r="G112" t="s">
        <v>50</v>
      </c>
      <c r="H112" t="s">
        <v>118</v>
      </c>
      <c r="I112" s="3">
        <v>819.61</v>
      </c>
      <c r="J112" s="4">
        <v>80</v>
      </c>
      <c r="K112" t="s">
        <v>16</v>
      </c>
      <c r="L112">
        <f t="shared" si="2"/>
        <v>1</v>
      </c>
      <c r="M112" t="str">
        <f t="shared" si="3"/>
        <v>0–17</v>
      </c>
    </row>
    <row r="113" spans="1:13">
      <c r="A113" t="s">
        <v>270</v>
      </c>
      <c r="B113" t="s">
        <v>271</v>
      </c>
      <c r="C113">
        <v>40</v>
      </c>
      <c r="D113" t="s">
        <v>19</v>
      </c>
      <c r="E113" s="2">
        <v>45630</v>
      </c>
      <c r="F113" s="2">
        <v>45632</v>
      </c>
      <c r="G113" t="s">
        <v>24</v>
      </c>
      <c r="H113" t="s">
        <v>25</v>
      </c>
      <c r="I113" s="3">
        <v>2899.4</v>
      </c>
      <c r="J113" s="4">
        <v>70</v>
      </c>
      <c r="K113" t="s">
        <v>21</v>
      </c>
      <c r="L113">
        <f t="shared" si="2"/>
        <v>2</v>
      </c>
      <c r="M113" t="str">
        <f t="shared" si="3"/>
        <v>35–49</v>
      </c>
    </row>
    <row r="114" spans="1:13">
      <c r="A114" t="s">
        <v>272</v>
      </c>
      <c r="B114" t="s">
        <v>273</v>
      </c>
      <c r="C114">
        <v>4</v>
      </c>
      <c r="D114" t="s">
        <v>19</v>
      </c>
      <c r="E114" s="2">
        <v>45296</v>
      </c>
      <c r="F114" s="2">
        <v>45298</v>
      </c>
      <c r="G114" t="s">
        <v>50</v>
      </c>
      <c r="H114" t="s">
        <v>124</v>
      </c>
      <c r="I114" s="3">
        <v>2638.05</v>
      </c>
      <c r="J114" s="4">
        <v>90</v>
      </c>
      <c r="K114" t="s">
        <v>21</v>
      </c>
      <c r="L114">
        <f t="shared" si="2"/>
        <v>2</v>
      </c>
      <c r="M114" t="str">
        <f t="shared" si="3"/>
        <v>0–17</v>
      </c>
    </row>
    <row r="115" spans="1:13">
      <c r="A115" t="s">
        <v>274</v>
      </c>
      <c r="B115" t="s">
        <v>275</v>
      </c>
      <c r="C115">
        <v>19</v>
      </c>
      <c r="D115" t="s">
        <v>19</v>
      </c>
      <c r="E115" s="2">
        <v>45420</v>
      </c>
      <c r="F115" s="2">
        <v>45423</v>
      </c>
      <c r="G115" t="s">
        <v>24</v>
      </c>
      <c r="H115" t="s">
        <v>29</v>
      </c>
      <c r="I115" s="3">
        <v>6176.26</v>
      </c>
      <c r="J115" s="4">
        <v>70</v>
      </c>
      <c r="K115" t="s">
        <v>21</v>
      </c>
      <c r="L115">
        <f t="shared" si="2"/>
        <v>3</v>
      </c>
      <c r="M115" t="str">
        <f t="shared" si="3"/>
        <v>18–34</v>
      </c>
    </row>
    <row r="116" spans="1:13">
      <c r="A116" t="s">
        <v>276</v>
      </c>
      <c r="B116" t="s">
        <v>277</v>
      </c>
      <c r="C116">
        <v>29</v>
      </c>
      <c r="D116" t="s">
        <v>13</v>
      </c>
      <c r="E116" s="2">
        <v>45912</v>
      </c>
      <c r="F116" s="2">
        <v>45915</v>
      </c>
      <c r="G116" t="s">
        <v>61</v>
      </c>
      <c r="H116" t="s">
        <v>143</v>
      </c>
      <c r="I116" s="3">
        <v>4035.23</v>
      </c>
      <c r="J116" s="4">
        <v>80</v>
      </c>
      <c r="K116" t="s">
        <v>16</v>
      </c>
      <c r="L116">
        <f t="shared" si="2"/>
        <v>3</v>
      </c>
      <c r="M116" t="str">
        <f t="shared" si="3"/>
        <v>18–34</v>
      </c>
    </row>
    <row r="117" spans="1:13">
      <c r="A117" t="s">
        <v>278</v>
      </c>
      <c r="B117" t="s">
        <v>279</v>
      </c>
      <c r="C117">
        <v>36</v>
      </c>
      <c r="D117" t="s">
        <v>19</v>
      </c>
      <c r="E117" s="2">
        <v>45377</v>
      </c>
      <c r="F117" s="2">
        <v>45379</v>
      </c>
      <c r="G117" t="s">
        <v>32</v>
      </c>
      <c r="H117" t="s">
        <v>88</v>
      </c>
      <c r="I117" s="3">
        <v>1068.76</v>
      </c>
      <c r="J117" s="4">
        <v>80</v>
      </c>
      <c r="K117" t="s">
        <v>16</v>
      </c>
      <c r="L117">
        <f t="shared" si="2"/>
        <v>2</v>
      </c>
      <c r="M117" t="str">
        <f t="shared" si="3"/>
        <v>35–49</v>
      </c>
    </row>
    <row r="118" spans="1:13">
      <c r="A118" t="s">
        <v>280</v>
      </c>
      <c r="B118" t="s">
        <v>281</v>
      </c>
      <c r="C118">
        <v>45</v>
      </c>
      <c r="D118" t="s">
        <v>13</v>
      </c>
      <c r="E118" s="2">
        <v>45460</v>
      </c>
      <c r="F118" s="2">
        <v>45463</v>
      </c>
      <c r="G118" t="s">
        <v>24</v>
      </c>
      <c r="H118" t="s">
        <v>222</v>
      </c>
      <c r="I118" s="3">
        <v>2606.79</v>
      </c>
      <c r="J118" s="4">
        <v>70</v>
      </c>
      <c r="K118" t="s">
        <v>21</v>
      </c>
      <c r="L118">
        <f t="shared" si="2"/>
        <v>3</v>
      </c>
      <c r="M118" t="str">
        <f t="shared" si="3"/>
        <v>35–49</v>
      </c>
    </row>
    <row r="119" spans="1:13">
      <c r="A119" t="s">
        <v>282</v>
      </c>
      <c r="B119" t="s">
        <v>283</v>
      </c>
      <c r="C119">
        <v>2</v>
      </c>
      <c r="D119" t="s">
        <v>19</v>
      </c>
      <c r="E119" s="2">
        <v>45821</v>
      </c>
      <c r="F119" s="2">
        <v>45823</v>
      </c>
      <c r="G119" t="s">
        <v>50</v>
      </c>
      <c r="H119" t="s">
        <v>51</v>
      </c>
      <c r="I119" s="3">
        <v>2856.34</v>
      </c>
      <c r="J119" s="4">
        <v>100</v>
      </c>
      <c r="K119" t="s">
        <v>21</v>
      </c>
      <c r="L119">
        <f t="shared" si="2"/>
        <v>2</v>
      </c>
      <c r="M119" t="str">
        <f t="shared" si="3"/>
        <v>0–17</v>
      </c>
    </row>
    <row r="120" spans="1:13">
      <c r="A120" t="s">
        <v>284</v>
      </c>
      <c r="B120" t="s">
        <v>285</v>
      </c>
      <c r="C120">
        <v>48</v>
      </c>
      <c r="D120" t="s">
        <v>19</v>
      </c>
      <c r="E120" s="2">
        <v>45478</v>
      </c>
      <c r="F120" s="2">
        <v>45486</v>
      </c>
      <c r="G120" t="s">
        <v>61</v>
      </c>
      <c r="H120" t="s">
        <v>98</v>
      </c>
      <c r="I120" s="3">
        <v>13136.54</v>
      </c>
      <c r="J120" s="4">
        <v>100</v>
      </c>
      <c r="K120" t="s">
        <v>21</v>
      </c>
      <c r="L120">
        <f t="shared" si="2"/>
        <v>8</v>
      </c>
      <c r="M120" t="str">
        <f t="shared" si="3"/>
        <v>35–49</v>
      </c>
    </row>
    <row r="121" spans="1:13">
      <c r="A121" t="s">
        <v>286</v>
      </c>
      <c r="B121" t="s">
        <v>287</v>
      </c>
      <c r="C121">
        <v>32</v>
      </c>
      <c r="D121" t="s">
        <v>13</v>
      </c>
      <c r="E121" s="2">
        <v>45909</v>
      </c>
      <c r="F121" s="2">
        <v>45915</v>
      </c>
      <c r="G121" t="s">
        <v>61</v>
      </c>
      <c r="H121" t="s">
        <v>78</v>
      </c>
      <c r="I121" s="3">
        <v>10441.879999999999</v>
      </c>
      <c r="J121" s="4">
        <v>70</v>
      </c>
      <c r="K121" t="s">
        <v>21</v>
      </c>
      <c r="L121">
        <f t="shared" si="2"/>
        <v>6</v>
      </c>
      <c r="M121" t="str">
        <f t="shared" si="3"/>
        <v>18–34</v>
      </c>
    </row>
    <row r="122" spans="1:13">
      <c r="A122" t="s">
        <v>288</v>
      </c>
      <c r="B122" t="s">
        <v>289</v>
      </c>
      <c r="C122">
        <v>39</v>
      </c>
      <c r="D122" t="s">
        <v>13</v>
      </c>
      <c r="E122" s="2">
        <v>45529</v>
      </c>
      <c r="F122" s="2">
        <v>45536</v>
      </c>
      <c r="G122" t="s">
        <v>32</v>
      </c>
      <c r="H122" t="s">
        <v>33</v>
      </c>
      <c r="I122" s="3">
        <v>8804.17</v>
      </c>
      <c r="J122" s="4">
        <v>70</v>
      </c>
      <c r="K122" t="s">
        <v>21</v>
      </c>
      <c r="L122">
        <f t="shared" si="2"/>
        <v>7</v>
      </c>
      <c r="M122" t="str">
        <f t="shared" si="3"/>
        <v>35–49</v>
      </c>
    </row>
    <row r="123" spans="1:13">
      <c r="A123" t="s">
        <v>290</v>
      </c>
      <c r="B123" t="s">
        <v>291</v>
      </c>
      <c r="C123">
        <v>14</v>
      </c>
      <c r="D123" t="s">
        <v>13</v>
      </c>
      <c r="E123" s="2">
        <v>45433</v>
      </c>
      <c r="F123" s="2">
        <v>45438</v>
      </c>
      <c r="G123" t="s">
        <v>50</v>
      </c>
      <c r="H123" t="s">
        <v>131</v>
      </c>
      <c r="I123" s="3">
        <v>8692.2099999999991</v>
      </c>
      <c r="J123" s="4">
        <v>80</v>
      </c>
      <c r="K123" t="s">
        <v>21</v>
      </c>
      <c r="L123">
        <f t="shared" si="2"/>
        <v>5</v>
      </c>
      <c r="M123" t="str">
        <f t="shared" si="3"/>
        <v>0–17</v>
      </c>
    </row>
    <row r="124" spans="1:13">
      <c r="A124" t="s">
        <v>292</v>
      </c>
      <c r="B124" t="s">
        <v>293</v>
      </c>
      <c r="C124">
        <v>77</v>
      </c>
      <c r="D124" t="s">
        <v>13</v>
      </c>
      <c r="E124" s="2">
        <v>45601</v>
      </c>
      <c r="F124" s="2">
        <v>45606</v>
      </c>
      <c r="G124" t="s">
        <v>14</v>
      </c>
      <c r="H124" t="s">
        <v>15</v>
      </c>
      <c r="I124" s="3">
        <v>8942.35</v>
      </c>
      <c r="J124" s="4">
        <v>0</v>
      </c>
      <c r="K124" t="s">
        <v>16</v>
      </c>
      <c r="L124">
        <f t="shared" si="2"/>
        <v>5</v>
      </c>
      <c r="M124" t="str">
        <f t="shared" si="3"/>
        <v>65+</v>
      </c>
    </row>
    <row r="125" spans="1:13">
      <c r="A125" t="s">
        <v>294</v>
      </c>
      <c r="B125" t="s">
        <v>295</v>
      </c>
      <c r="C125">
        <v>59</v>
      </c>
      <c r="D125" t="s">
        <v>13</v>
      </c>
      <c r="E125" s="2">
        <v>45786</v>
      </c>
      <c r="F125" s="2">
        <v>45796</v>
      </c>
      <c r="G125" t="s">
        <v>71</v>
      </c>
      <c r="H125" t="s">
        <v>296</v>
      </c>
      <c r="I125" s="3">
        <v>17584.490000000002</v>
      </c>
      <c r="J125" s="4">
        <v>100</v>
      </c>
      <c r="K125" t="s">
        <v>26</v>
      </c>
      <c r="L125">
        <f t="shared" si="2"/>
        <v>10</v>
      </c>
      <c r="M125" t="str">
        <f t="shared" si="3"/>
        <v>50–64</v>
      </c>
    </row>
    <row r="126" spans="1:13">
      <c r="A126" t="s">
        <v>297</v>
      </c>
      <c r="B126" t="s">
        <v>207</v>
      </c>
      <c r="C126">
        <v>84</v>
      </c>
      <c r="D126" t="s">
        <v>19</v>
      </c>
      <c r="E126" s="2">
        <v>45399</v>
      </c>
      <c r="F126" s="2">
        <v>45400</v>
      </c>
      <c r="G126" t="s">
        <v>24</v>
      </c>
      <c r="H126" t="s">
        <v>205</v>
      </c>
      <c r="I126" s="3">
        <v>1921.25</v>
      </c>
      <c r="J126" s="4">
        <v>50</v>
      </c>
      <c r="K126" t="s">
        <v>26</v>
      </c>
      <c r="L126">
        <f t="shared" si="2"/>
        <v>1</v>
      </c>
      <c r="M126" t="str">
        <f t="shared" si="3"/>
        <v>65+</v>
      </c>
    </row>
    <row r="127" spans="1:13">
      <c r="A127" t="s">
        <v>298</v>
      </c>
      <c r="B127" t="s">
        <v>299</v>
      </c>
      <c r="C127">
        <v>41</v>
      </c>
      <c r="D127" t="s">
        <v>19</v>
      </c>
      <c r="E127" s="2">
        <v>45515</v>
      </c>
      <c r="F127" s="2">
        <v>45518</v>
      </c>
      <c r="G127" t="s">
        <v>71</v>
      </c>
      <c r="H127" t="s">
        <v>296</v>
      </c>
      <c r="I127" s="3">
        <v>6966.69</v>
      </c>
      <c r="J127" s="4">
        <v>70</v>
      </c>
      <c r="K127" t="s">
        <v>21</v>
      </c>
      <c r="L127">
        <f t="shared" si="2"/>
        <v>3</v>
      </c>
      <c r="M127" t="str">
        <f t="shared" si="3"/>
        <v>35–49</v>
      </c>
    </row>
    <row r="128" spans="1:13">
      <c r="A128" t="s">
        <v>300</v>
      </c>
      <c r="B128" t="s">
        <v>301</v>
      </c>
      <c r="C128">
        <v>4</v>
      </c>
      <c r="D128" t="s">
        <v>19</v>
      </c>
      <c r="E128" s="2">
        <v>45390</v>
      </c>
      <c r="F128" s="2">
        <v>45394</v>
      </c>
      <c r="G128" t="s">
        <v>50</v>
      </c>
      <c r="H128" t="s">
        <v>131</v>
      </c>
      <c r="I128" s="3">
        <v>5715.35</v>
      </c>
      <c r="J128" s="4">
        <v>70</v>
      </c>
      <c r="K128" t="s">
        <v>16</v>
      </c>
      <c r="L128">
        <f t="shared" si="2"/>
        <v>4</v>
      </c>
      <c r="M128" t="str">
        <f t="shared" si="3"/>
        <v>0–17</v>
      </c>
    </row>
    <row r="129" spans="1:13">
      <c r="A129" t="s">
        <v>302</v>
      </c>
      <c r="B129" t="s">
        <v>303</v>
      </c>
      <c r="C129">
        <v>48</v>
      </c>
      <c r="D129" t="s">
        <v>19</v>
      </c>
      <c r="E129" s="2">
        <v>45936</v>
      </c>
      <c r="F129" s="2">
        <v>45939</v>
      </c>
      <c r="G129" t="s">
        <v>24</v>
      </c>
      <c r="H129" t="s">
        <v>205</v>
      </c>
      <c r="I129" s="3">
        <v>4210.91</v>
      </c>
      <c r="J129" s="4">
        <v>90</v>
      </c>
      <c r="K129" t="s">
        <v>16</v>
      </c>
      <c r="L129">
        <f t="shared" si="2"/>
        <v>3</v>
      </c>
      <c r="M129" t="str">
        <f t="shared" si="3"/>
        <v>35–49</v>
      </c>
    </row>
    <row r="130" spans="1:13">
      <c r="A130" t="s">
        <v>304</v>
      </c>
      <c r="B130" t="s">
        <v>305</v>
      </c>
      <c r="C130">
        <v>62</v>
      </c>
      <c r="D130" t="s">
        <v>19</v>
      </c>
      <c r="E130" s="2">
        <v>45353</v>
      </c>
      <c r="F130" s="2">
        <v>45360</v>
      </c>
      <c r="G130" t="s">
        <v>14</v>
      </c>
      <c r="H130" t="s">
        <v>20</v>
      </c>
      <c r="I130" s="3">
        <v>11082.93</v>
      </c>
      <c r="J130" s="4">
        <v>50</v>
      </c>
      <c r="K130" t="s">
        <v>21</v>
      </c>
      <c r="L130">
        <f t="shared" si="2"/>
        <v>7</v>
      </c>
      <c r="M130" t="str">
        <f t="shared" si="3"/>
        <v>50–64</v>
      </c>
    </row>
    <row r="131" spans="1:13">
      <c r="A131" t="s">
        <v>306</v>
      </c>
      <c r="B131" t="s">
        <v>307</v>
      </c>
      <c r="C131">
        <v>31</v>
      </c>
      <c r="D131" t="s">
        <v>19</v>
      </c>
      <c r="E131" s="2">
        <v>45625</v>
      </c>
      <c r="F131" s="2">
        <v>45630</v>
      </c>
      <c r="G131" t="s">
        <v>32</v>
      </c>
      <c r="H131" t="s">
        <v>54</v>
      </c>
      <c r="I131" s="3">
        <v>6234.49</v>
      </c>
      <c r="J131" s="4">
        <v>100</v>
      </c>
      <c r="K131" t="s">
        <v>21</v>
      </c>
      <c r="L131">
        <f t="shared" ref="L131:L194" si="4">F131-E131</f>
        <v>5</v>
      </c>
      <c r="M131" t="str">
        <f t="shared" ref="M131:M194" si="5">IF(C131&lt;=17,"0–17",IF(C131&lt;=34,"18–34",IF(C131&lt;=49,"35–49",IF(C131&lt;=64,"50–64","65+"))))</f>
        <v>18–34</v>
      </c>
    </row>
    <row r="132" spans="1:13">
      <c r="A132" t="s">
        <v>308</v>
      </c>
      <c r="B132" t="s">
        <v>309</v>
      </c>
      <c r="C132">
        <v>65</v>
      </c>
      <c r="D132" t="s">
        <v>19</v>
      </c>
      <c r="E132" s="2">
        <v>45793</v>
      </c>
      <c r="F132" s="2">
        <v>45803</v>
      </c>
      <c r="G132" t="s">
        <v>71</v>
      </c>
      <c r="H132" t="s">
        <v>296</v>
      </c>
      <c r="I132" s="3">
        <v>17644.05</v>
      </c>
      <c r="J132" s="4">
        <v>60</v>
      </c>
      <c r="K132" t="s">
        <v>16</v>
      </c>
      <c r="L132">
        <f t="shared" si="4"/>
        <v>10</v>
      </c>
      <c r="M132" t="str">
        <f t="shared" si="5"/>
        <v>65+</v>
      </c>
    </row>
    <row r="133" spans="1:13">
      <c r="A133" t="s">
        <v>310</v>
      </c>
      <c r="B133" t="s">
        <v>311</v>
      </c>
      <c r="C133">
        <v>80</v>
      </c>
      <c r="D133" t="s">
        <v>13</v>
      </c>
      <c r="E133" s="2">
        <v>45587</v>
      </c>
      <c r="F133" s="2">
        <v>45596</v>
      </c>
      <c r="G133" t="s">
        <v>71</v>
      </c>
      <c r="H133" t="s">
        <v>72</v>
      </c>
      <c r="I133" s="3">
        <v>11838.97</v>
      </c>
      <c r="J133" s="4">
        <v>70</v>
      </c>
      <c r="K133" t="s">
        <v>26</v>
      </c>
      <c r="L133">
        <f t="shared" si="4"/>
        <v>9</v>
      </c>
      <c r="M133" t="str">
        <f t="shared" si="5"/>
        <v>65+</v>
      </c>
    </row>
    <row r="134" spans="1:13">
      <c r="A134" t="s">
        <v>312</v>
      </c>
      <c r="B134" t="s">
        <v>313</v>
      </c>
      <c r="C134">
        <v>9</v>
      </c>
      <c r="D134" t="s">
        <v>13</v>
      </c>
      <c r="E134" s="2">
        <v>45589</v>
      </c>
      <c r="F134" s="2">
        <v>45592</v>
      </c>
      <c r="G134" t="s">
        <v>50</v>
      </c>
      <c r="H134" t="s">
        <v>124</v>
      </c>
      <c r="I134" s="3">
        <v>2139.13</v>
      </c>
      <c r="J134" s="4">
        <v>90</v>
      </c>
      <c r="K134" t="s">
        <v>26</v>
      </c>
      <c r="L134">
        <f t="shared" si="4"/>
        <v>3</v>
      </c>
      <c r="M134" t="str">
        <f t="shared" si="5"/>
        <v>0–17</v>
      </c>
    </row>
    <row r="135" spans="1:13">
      <c r="A135" t="s">
        <v>314</v>
      </c>
      <c r="B135" t="s">
        <v>315</v>
      </c>
      <c r="C135">
        <v>48</v>
      </c>
      <c r="D135" t="s">
        <v>19</v>
      </c>
      <c r="E135" s="2">
        <v>45436</v>
      </c>
      <c r="F135" s="2">
        <v>45443</v>
      </c>
      <c r="G135" t="s">
        <v>14</v>
      </c>
      <c r="H135" t="s">
        <v>39</v>
      </c>
      <c r="I135" s="3">
        <v>10657.18</v>
      </c>
      <c r="J135" s="4">
        <v>100</v>
      </c>
      <c r="K135" t="s">
        <v>16</v>
      </c>
      <c r="L135">
        <f t="shared" si="4"/>
        <v>7</v>
      </c>
      <c r="M135" t="str">
        <f t="shared" si="5"/>
        <v>35–49</v>
      </c>
    </row>
    <row r="136" spans="1:13">
      <c r="A136" t="s">
        <v>316</v>
      </c>
      <c r="B136" t="s">
        <v>317</v>
      </c>
      <c r="C136">
        <v>83</v>
      </c>
      <c r="D136" t="s">
        <v>19</v>
      </c>
      <c r="E136" s="2">
        <v>45899</v>
      </c>
      <c r="F136" s="2">
        <v>45905</v>
      </c>
      <c r="G136" t="s">
        <v>14</v>
      </c>
      <c r="H136" t="s">
        <v>166</v>
      </c>
      <c r="I136" s="3">
        <v>17707.36</v>
      </c>
      <c r="J136" s="4">
        <v>90</v>
      </c>
      <c r="K136" t="s">
        <v>16</v>
      </c>
      <c r="L136">
        <f t="shared" si="4"/>
        <v>6</v>
      </c>
      <c r="M136" t="str">
        <f t="shared" si="5"/>
        <v>65+</v>
      </c>
    </row>
    <row r="137" spans="1:13">
      <c r="A137" t="s">
        <v>318</v>
      </c>
      <c r="B137" t="s">
        <v>319</v>
      </c>
      <c r="C137">
        <v>57</v>
      </c>
      <c r="D137" t="s">
        <v>13</v>
      </c>
      <c r="E137" s="2">
        <v>45619</v>
      </c>
      <c r="F137" s="2">
        <v>45632</v>
      </c>
      <c r="G137" t="s">
        <v>61</v>
      </c>
      <c r="H137" t="s">
        <v>98</v>
      </c>
      <c r="I137" s="3">
        <v>31874.83</v>
      </c>
      <c r="J137" s="4">
        <v>90</v>
      </c>
      <c r="K137" t="s">
        <v>21</v>
      </c>
      <c r="L137">
        <f t="shared" si="4"/>
        <v>13</v>
      </c>
      <c r="M137" t="str">
        <f t="shared" si="5"/>
        <v>50–64</v>
      </c>
    </row>
    <row r="138" spans="1:13">
      <c r="A138" t="s">
        <v>320</v>
      </c>
      <c r="B138" t="s">
        <v>321</v>
      </c>
      <c r="C138">
        <v>50</v>
      </c>
      <c r="D138" t="s">
        <v>19</v>
      </c>
      <c r="E138" s="2">
        <v>45458</v>
      </c>
      <c r="F138" s="2">
        <v>45464</v>
      </c>
      <c r="G138" t="s">
        <v>32</v>
      </c>
      <c r="H138" t="s">
        <v>54</v>
      </c>
      <c r="I138" s="3">
        <v>5681.44</v>
      </c>
      <c r="J138" s="4">
        <v>70</v>
      </c>
      <c r="K138" t="s">
        <v>16</v>
      </c>
      <c r="L138">
        <f t="shared" si="4"/>
        <v>6</v>
      </c>
      <c r="M138" t="str">
        <f t="shared" si="5"/>
        <v>50–64</v>
      </c>
    </row>
    <row r="139" spans="1:13">
      <c r="A139" t="s">
        <v>322</v>
      </c>
      <c r="B139" t="s">
        <v>323</v>
      </c>
      <c r="C139">
        <v>58</v>
      </c>
      <c r="D139" t="s">
        <v>19</v>
      </c>
      <c r="E139" s="2">
        <v>45841</v>
      </c>
      <c r="F139" s="2">
        <v>45848</v>
      </c>
      <c r="G139" t="s">
        <v>14</v>
      </c>
      <c r="H139" t="s">
        <v>15</v>
      </c>
      <c r="I139" s="3">
        <v>17588.68</v>
      </c>
      <c r="J139" s="4">
        <v>90</v>
      </c>
      <c r="K139" t="s">
        <v>16</v>
      </c>
      <c r="L139">
        <f t="shared" si="4"/>
        <v>7</v>
      </c>
      <c r="M139" t="str">
        <f t="shared" si="5"/>
        <v>50–64</v>
      </c>
    </row>
    <row r="140" spans="1:13">
      <c r="A140" t="s">
        <v>324</v>
      </c>
      <c r="B140" t="s">
        <v>325</v>
      </c>
      <c r="C140">
        <v>58</v>
      </c>
      <c r="D140" t="s">
        <v>13</v>
      </c>
      <c r="E140" s="2">
        <v>45749</v>
      </c>
      <c r="F140" s="2">
        <v>45751</v>
      </c>
      <c r="G140" t="s">
        <v>32</v>
      </c>
      <c r="H140" t="s">
        <v>235</v>
      </c>
      <c r="I140" s="3">
        <v>1113.6199999999999</v>
      </c>
      <c r="J140" s="4">
        <v>80</v>
      </c>
      <c r="K140" t="s">
        <v>16</v>
      </c>
      <c r="L140">
        <f t="shared" si="4"/>
        <v>2</v>
      </c>
      <c r="M140" t="str">
        <f t="shared" si="5"/>
        <v>50–64</v>
      </c>
    </row>
    <row r="141" spans="1:13">
      <c r="A141" t="s">
        <v>326</v>
      </c>
      <c r="B141" t="s">
        <v>327</v>
      </c>
      <c r="C141">
        <v>60</v>
      </c>
      <c r="D141" t="s">
        <v>13</v>
      </c>
      <c r="E141" s="2">
        <v>45465</v>
      </c>
      <c r="F141" s="2">
        <v>45470</v>
      </c>
      <c r="G141" t="s">
        <v>32</v>
      </c>
      <c r="H141" t="s">
        <v>235</v>
      </c>
      <c r="I141" s="3">
        <v>3222.62</v>
      </c>
      <c r="J141" s="4">
        <v>90</v>
      </c>
      <c r="K141" t="s">
        <v>21</v>
      </c>
      <c r="L141">
        <f t="shared" si="4"/>
        <v>5</v>
      </c>
      <c r="M141" t="str">
        <f t="shared" si="5"/>
        <v>50–64</v>
      </c>
    </row>
    <row r="142" spans="1:13">
      <c r="A142" t="s">
        <v>328</v>
      </c>
      <c r="B142" t="s">
        <v>329</v>
      </c>
      <c r="C142">
        <v>53</v>
      </c>
      <c r="D142" t="s">
        <v>19</v>
      </c>
      <c r="E142" s="2">
        <v>45481</v>
      </c>
      <c r="F142" s="2">
        <v>45486</v>
      </c>
      <c r="G142" t="s">
        <v>32</v>
      </c>
      <c r="H142" t="s">
        <v>33</v>
      </c>
      <c r="I142" s="3">
        <v>4276.67</v>
      </c>
      <c r="J142" s="4">
        <v>50</v>
      </c>
      <c r="K142" t="s">
        <v>16</v>
      </c>
      <c r="L142">
        <f t="shared" si="4"/>
        <v>5</v>
      </c>
      <c r="M142" t="str">
        <f t="shared" si="5"/>
        <v>50–64</v>
      </c>
    </row>
    <row r="143" spans="1:13">
      <c r="A143" t="s">
        <v>330</v>
      </c>
      <c r="B143" t="s">
        <v>331</v>
      </c>
      <c r="C143">
        <v>37</v>
      </c>
      <c r="D143" t="s">
        <v>19</v>
      </c>
      <c r="E143" s="2">
        <v>45754</v>
      </c>
      <c r="F143" s="2">
        <v>45758</v>
      </c>
      <c r="G143" t="s">
        <v>32</v>
      </c>
      <c r="H143" t="s">
        <v>54</v>
      </c>
      <c r="I143" s="3">
        <v>2378.61</v>
      </c>
      <c r="J143" s="4">
        <v>70</v>
      </c>
      <c r="K143" t="s">
        <v>16</v>
      </c>
      <c r="L143">
        <f t="shared" si="4"/>
        <v>4</v>
      </c>
      <c r="M143" t="str">
        <f t="shared" si="5"/>
        <v>35–49</v>
      </c>
    </row>
    <row r="144" spans="1:13">
      <c r="A144" t="s">
        <v>332</v>
      </c>
      <c r="B144" t="s">
        <v>333</v>
      </c>
      <c r="C144">
        <v>52</v>
      </c>
      <c r="D144" t="s">
        <v>13</v>
      </c>
      <c r="E144" s="2">
        <v>45295</v>
      </c>
      <c r="F144" s="2">
        <v>45296</v>
      </c>
      <c r="G144" t="s">
        <v>24</v>
      </c>
      <c r="H144" t="s">
        <v>334</v>
      </c>
      <c r="I144" s="3">
        <v>1802.47</v>
      </c>
      <c r="J144" s="4">
        <v>70</v>
      </c>
      <c r="K144" t="s">
        <v>26</v>
      </c>
      <c r="L144">
        <f t="shared" si="4"/>
        <v>1</v>
      </c>
      <c r="M144" t="str">
        <f t="shared" si="5"/>
        <v>50–64</v>
      </c>
    </row>
    <row r="145" spans="1:13">
      <c r="A145" t="s">
        <v>335</v>
      </c>
      <c r="B145" t="s">
        <v>336</v>
      </c>
      <c r="C145">
        <v>64</v>
      </c>
      <c r="D145" t="s">
        <v>19</v>
      </c>
      <c r="E145" s="2">
        <v>45414</v>
      </c>
      <c r="F145" s="2">
        <v>45423</v>
      </c>
      <c r="G145" t="s">
        <v>14</v>
      </c>
      <c r="H145" t="s">
        <v>166</v>
      </c>
      <c r="I145" s="3">
        <v>26472.01</v>
      </c>
      <c r="J145" s="4">
        <v>60</v>
      </c>
      <c r="K145" t="s">
        <v>26</v>
      </c>
      <c r="L145">
        <f t="shared" si="4"/>
        <v>9</v>
      </c>
      <c r="M145" t="str">
        <f t="shared" si="5"/>
        <v>50–64</v>
      </c>
    </row>
    <row r="146" spans="1:13">
      <c r="A146" t="s">
        <v>337</v>
      </c>
      <c r="B146" t="s">
        <v>338</v>
      </c>
      <c r="C146">
        <v>31</v>
      </c>
      <c r="D146" t="s">
        <v>13</v>
      </c>
      <c r="E146" s="2">
        <v>45861</v>
      </c>
      <c r="F146" s="2">
        <v>45870</v>
      </c>
      <c r="G146" t="s">
        <v>71</v>
      </c>
      <c r="H146" t="s">
        <v>296</v>
      </c>
      <c r="I146" s="3">
        <v>15209.42</v>
      </c>
      <c r="J146" s="4">
        <v>80</v>
      </c>
      <c r="K146" t="s">
        <v>21</v>
      </c>
      <c r="L146">
        <f t="shared" si="4"/>
        <v>9</v>
      </c>
      <c r="M146" t="str">
        <f t="shared" si="5"/>
        <v>18–34</v>
      </c>
    </row>
    <row r="147" spans="1:13">
      <c r="A147" t="s">
        <v>339</v>
      </c>
      <c r="B147" t="s">
        <v>23</v>
      </c>
      <c r="C147">
        <v>54</v>
      </c>
      <c r="D147" t="s">
        <v>19</v>
      </c>
      <c r="E147" s="2">
        <v>45849</v>
      </c>
      <c r="F147" s="2">
        <v>45850</v>
      </c>
      <c r="G147" t="s">
        <v>32</v>
      </c>
      <c r="H147" t="s">
        <v>54</v>
      </c>
      <c r="I147" s="3">
        <v>683.93</v>
      </c>
      <c r="J147" s="4">
        <v>0</v>
      </c>
      <c r="K147" t="s">
        <v>21</v>
      </c>
      <c r="L147">
        <f t="shared" si="4"/>
        <v>1</v>
      </c>
      <c r="M147" t="str">
        <f t="shared" si="5"/>
        <v>50–64</v>
      </c>
    </row>
    <row r="148" spans="1:13">
      <c r="A148" t="s">
        <v>340</v>
      </c>
      <c r="B148" t="s">
        <v>341</v>
      </c>
      <c r="C148">
        <v>77</v>
      </c>
      <c r="D148" t="s">
        <v>19</v>
      </c>
      <c r="E148" s="2">
        <v>45382</v>
      </c>
      <c r="F148" s="2">
        <v>45386</v>
      </c>
      <c r="G148" t="s">
        <v>32</v>
      </c>
      <c r="H148" t="s">
        <v>88</v>
      </c>
      <c r="I148" s="3">
        <v>2163.62</v>
      </c>
      <c r="J148" s="4">
        <v>60</v>
      </c>
      <c r="K148" t="s">
        <v>16</v>
      </c>
      <c r="L148">
        <f t="shared" si="4"/>
        <v>4</v>
      </c>
      <c r="M148" t="str">
        <f t="shared" si="5"/>
        <v>65+</v>
      </c>
    </row>
    <row r="149" spans="1:13">
      <c r="A149" t="s">
        <v>342</v>
      </c>
      <c r="B149" t="s">
        <v>343</v>
      </c>
      <c r="C149">
        <v>28</v>
      </c>
      <c r="D149" t="s">
        <v>19</v>
      </c>
      <c r="E149" s="2">
        <v>45904</v>
      </c>
      <c r="F149" s="2">
        <v>45907</v>
      </c>
      <c r="G149" t="s">
        <v>24</v>
      </c>
      <c r="H149" t="s">
        <v>83</v>
      </c>
      <c r="I149" s="3">
        <v>7033.75</v>
      </c>
      <c r="J149" s="4">
        <v>90</v>
      </c>
      <c r="K149" t="s">
        <v>16</v>
      </c>
      <c r="L149">
        <f t="shared" si="4"/>
        <v>3</v>
      </c>
      <c r="M149" t="str">
        <f t="shared" si="5"/>
        <v>18–34</v>
      </c>
    </row>
    <row r="150" spans="1:13">
      <c r="A150" t="s">
        <v>344</v>
      </c>
      <c r="B150" t="s">
        <v>345</v>
      </c>
      <c r="C150">
        <v>57</v>
      </c>
      <c r="D150" t="s">
        <v>19</v>
      </c>
      <c r="E150" s="2">
        <v>45647</v>
      </c>
      <c r="F150" s="2">
        <v>45652</v>
      </c>
      <c r="G150" t="s">
        <v>14</v>
      </c>
      <c r="H150" t="s">
        <v>103</v>
      </c>
      <c r="I150" s="3">
        <v>9216.99</v>
      </c>
      <c r="J150" s="4">
        <v>100</v>
      </c>
      <c r="K150" t="s">
        <v>16</v>
      </c>
      <c r="L150">
        <f t="shared" si="4"/>
        <v>5</v>
      </c>
      <c r="M150" t="str">
        <f t="shared" si="5"/>
        <v>50–64</v>
      </c>
    </row>
    <row r="151" spans="1:13">
      <c r="A151" t="s">
        <v>346</v>
      </c>
      <c r="B151" t="s">
        <v>347</v>
      </c>
      <c r="C151">
        <v>32</v>
      </c>
      <c r="D151" t="s">
        <v>19</v>
      </c>
      <c r="E151" s="2">
        <v>45778</v>
      </c>
      <c r="F151" s="2">
        <v>45780</v>
      </c>
      <c r="G151" t="s">
        <v>32</v>
      </c>
      <c r="H151" t="s">
        <v>54</v>
      </c>
      <c r="I151" s="3">
        <v>1561.35</v>
      </c>
      <c r="J151" s="4">
        <v>90</v>
      </c>
      <c r="K151" t="s">
        <v>26</v>
      </c>
      <c r="L151">
        <f t="shared" si="4"/>
        <v>2</v>
      </c>
      <c r="M151" t="str">
        <f t="shared" si="5"/>
        <v>18–34</v>
      </c>
    </row>
    <row r="152" spans="1:13">
      <c r="A152" t="s">
        <v>348</v>
      </c>
      <c r="B152" t="s">
        <v>349</v>
      </c>
      <c r="C152">
        <v>41</v>
      </c>
      <c r="D152" t="s">
        <v>19</v>
      </c>
      <c r="E152" s="2">
        <v>45849</v>
      </c>
      <c r="F152" s="2">
        <v>45858</v>
      </c>
      <c r="G152" t="s">
        <v>14</v>
      </c>
      <c r="H152" t="s">
        <v>15</v>
      </c>
      <c r="I152" s="3">
        <v>24856.18</v>
      </c>
      <c r="J152" s="4">
        <v>100</v>
      </c>
      <c r="K152" t="s">
        <v>16</v>
      </c>
      <c r="L152">
        <f t="shared" si="4"/>
        <v>9</v>
      </c>
      <c r="M152" t="str">
        <f t="shared" si="5"/>
        <v>35–49</v>
      </c>
    </row>
    <row r="153" spans="1:13">
      <c r="A153" t="s">
        <v>350</v>
      </c>
      <c r="B153" t="s">
        <v>351</v>
      </c>
      <c r="C153">
        <v>43</v>
      </c>
      <c r="D153" t="s">
        <v>13</v>
      </c>
      <c r="E153" s="2">
        <v>45799</v>
      </c>
      <c r="F153" s="2">
        <v>45801</v>
      </c>
      <c r="G153" t="s">
        <v>24</v>
      </c>
      <c r="H153" t="s">
        <v>83</v>
      </c>
      <c r="I153" s="3">
        <v>2493.0500000000002</v>
      </c>
      <c r="J153" s="4">
        <v>90</v>
      </c>
      <c r="K153" t="s">
        <v>16</v>
      </c>
      <c r="L153">
        <f t="shared" si="4"/>
        <v>2</v>
      </c>
      <c r="M153" t="str">
        <f t="shared" si="5"/>
        <v>35–49</v>
      </c>
    </row>
    <row r="154" spans="1:13">
      <c r="A154" t="s">
        <v>352</v>
      </c>
      <c r="B154" t="s">
        <v>353</v>
      </c>
      <c r="C154">
        <v>49</v>
      </c>
      <c r="D154" t="s">
        <v>13</v>
      </c>
      <c r="E154" s="2">
        <v>45400</v>
      </c>
      <c r="F154" s="2">
        <v>45403</v>
      </c>
      <c r="G154" t="s">
        <v>24</v>
      </c>
      <c r="H154" t="s">
        <v>42</v>
      </c>
      <c r="I154" s="3">
        <v>5177.47</v>
      </c>
      <c r="J154" s="4">
        <v>60</v>
      </c>
      <c r="K154" t="s">
        <v>16</v>
      </c>
      <c r="L154">
        <f t="shared" si="4"/>
        <v>3</v>
      </c>
      <c r="M154" t="str">
        <f t="shared" si="5"/>
        <v>35–49</v>
      </c>
    </row>
    <row r="155" spans="1:13">
      <c r="A155" t="s">
        <v>354</v>
      </c>
      <c r="B155" t="s">
        <v>355</v>
      </c>
      <c r="C155">
        <v>75</v>
      </c>
      <c r="D155" t="s">
        <v>19</v>
      </c>
      <c r="E155" s="2">
        <v>45745</v>
      </c>
      <c r="F155" s="2">
        <v>45753</v>
      </c>
      <c r="G155" t="s">
        <v>61</v>
      </c>
      <c r="H155" t="s">
        <v>75</v>
      </c>
      <c r="I155" s="3">
        <v>12122.8</v>
      </c>
      <c r="J155" s="4">
        <v>80</v>
      </c>
      <c r="K155" t="s">
        <v>16</v>
      </c>
      <c r="L155">
        <f t="shared" si="4"/>
        <v>8</v>
      </c>
      <c r="M155" t="str">
        <f t="shared" si="5"/>
        <v>65+</v>
      </c>
    </row>
    <row r="156" spans="1:13">
      <c r="A156" t="s">
        <v>356</v>
      </c>
      <c r="B156" t="s">
        <v>357</v>
      </c>
      <c r="C156">
        <v>48</v>
      </c>
      <c r="D156" t="s">
        <v>13</v>
      </c>
      <c r="E156" s="2">
        <v>45542</v>
      </c>
      <c r="F156" s="2">
        <v>45546</v>
      </c>
      <c r="G156" t="s">
        <v>71</v>
      </c>
      <c r="H156" t="s">
        <v>158</v>
      </c>
      <c r="I156" s="3">
        <v>6625.48</v>
      </c>
      <c r="J156" s="4">
        <v>60</v>
      </c>
      <c r="K156" t="s">
        <v>26</v>
      </c>
      <c r="L156">
        <f t="shared" si="4"/>
        <v>4</v>
      </c>
      <c r="M156" t="str">
        <f t="shared" si="5"/>
        <v>35–49</v>
      </c>
    </row>
    <row r="157" spans="1:13">
      <c r="A157" t="s">
        <v>358</v>
      </c>
      <c r="B157" t="s">
        <v>359</v>
      </c>
      <c r="C157">
        <v>72</v>
      </c>
      <c r="D157" t="s">
        <v>13</v>
      </c>
      <c r="E157" s="2">
        <v>45496</v>
      </c>
      <c r="F157" s="2">
        <v>45505</v>
      </c>
      <c r="G157" t="s">
        <v>61</v>
      </c>
      <c r="H157" t="s">
        <v>78</v>
      </c>
      <c r="I157" s="3">
        <v>17423.45</v>
      </c>
      <c r="J157" s="4">
        <v>70</v>
      </c>
      <c r="K157" t="s">
        <v>26</v>
      </c>
      <c r="L157">
        <f t="shared" si="4"/>
        <v>9</v>
      </c>
      <c r="M157" t="str">
        <f t="shared" si="5"/>
        <v>65+</v>
      </c>
    </row>
    <row r="158" spans="1:13">
      <c r="A158" t="s">
        <v>360</v>
      </c>
      <c r="B158" t="s">
        <v>361</v>
      </c>
      <c r="C158">
        <v>65</v>
      </c>
      <c r="D158" t="s">
        <v>13</v>
      </c>
      <c r="E158" s="2">
        <v>45469</v>
      </c>
      <c r="F158" s="2">
        <v>45478</v>
      </c>
      <c r="G158" t="s">
        <v>14</v>
      </c>
      <c r="H158" t="s">
        <v>20</v>
      </c>
      <c r="I158" s="3">
        <v>13753.53</v>
      </c>
      <c r="J158" s="4">
        <v>90</v>
      </c>
      <c r="K158" t="s">
        <v>21</v>
      </c>
      <c r="L158">
        <f t="shared" si="4"/>
        <v>9</v>
      </c>
      <c r="M158" t="str">
        <f t="shared" si="5"/>
        <v>65+</v>
      </c>
    </row>
    <row r="159" spans="1:13">
      <c r="A159" t="s">
        <v>362</v>
      </c>
      <c r="B159" t="s">
        <v>251</v>
      </c>
      <c r="C159">
        <v>44</v>
      </c>
      <c r="D159" t="s">
        <v>13</v>
      </c>
      <c r="E159" s="2">
        <v>45926</v>
      </c>
      <c r="F159" s="2">
        <v>45936</v>
      </c>
      <c r="G159" t="s">
        <v>14</v>
      </c>
      <c r="H159" t="s">
        <v>15</v>
      </c>
      <c r="I159" s="3">
        <v>18100.37</v>
      </c>
      <c r="J159" s="4">
        <v>80</v>
      </c>
      <c r="K159" t="s">
        <v>16</v>
      </c>
      <c r="L159">
        <f t="shared" si="4"/>
        <v>10</v>
      </c>
      <c r="M159" t="str">
        <f t="shared" si="5"/>
        <v>35–49</v>
      </c>
    </row>
    <row r="160" spans="1:13">
      <c r="A160" t="s">
        <v>363</v>
      </c>
      <c r="B160" t="s">
        <v>364</v>
      </c>
      <c r="C160">
        <v>48</v>
      </c>
      <c r="D160" t="s">
        <v>19</v>
      </c>
      <c r="E160" s="2">
        <v>45540</v>
      </c>
      <c r="F160" s="2">
        <v>45547</v>
      </c>
      <c r="G160" t="s">
        <v>61</v>
      </c>
      <c r="H160" t="s">
        <v>134</v>
      </c>
      <c r="I160" s="3">
        <v>16172.66</v>
      </c>
      <c r="J160" s="4">
        <v>70</v>
      </c>
      <c r="K160" t="s">
        <v>21</v>
      </c>
      <c r="L160">
        <f t="shared" si="4"/>
        <v>7</v>
      </c>
      <c r="M160" t="str">
        <f t="shared" si="5"/>
        <v>35–49</v>
      </c>
    </row>
    <row r="161" spans="1:13">
      <c r="A161" t="s">
        <v>365</v>
      </c>
      <c r="B161" t="s">
        <v>366</v>
      </c>
      <c r="C161">
        <v>43</v>
      </c>
      <c r="D161" t="s">
        <v>19</v>
      </c>
      <c r="E161" s="2">
        <v>45514</v>
      </c>
      <c r="F161" s="2">
        <v>45521</v>
      </c>
      <c r="G161" t="s">
        <v>32</v>
      </c>
      <c r="H161" t="s">
        <v>45</v>
      </c>
      <c r="I161" s="3">
        <v>7133.08</v>
      </c>
      <c r="J161" s="4">
        <v>90</v>
      </c>
      <c r="K161" t="s">
        <v>21</v>
      </c>
      <c r="L161">
        <f t="shared" si="4"/>
        <v>7</v>
      </c>
      <c r="M161" t="str">
        <f t="shared" si="5"/>
        <v>35–49</v>
      </c>
    </row>
    <row r="162" spans="1:13">
      <c r="A162" t="s">
        <v>367</v>
      </c>
      <c r="B162" t="s">
        <v>368</v>
      </c>
      <c r="C162">
        <v>48</v>
      </c>
      <c r="D162" t="s">
        <v>13</v>
      </c>
      <c r="E162" s="2">
        <v>46013</v>
      </c>
      <c r="F162" s="2">
        <v>46023</v>
      </c>
      <c r="G162" t="s">
        <v>14</v>
      </c>
      <c r="H162" t="s">
        <v>15</v>
      </c>
      <c r="I162" s="3">
        <v>27699.3</v>
      </c>
      <c r="J162" s="4">
        <v>50</v>
      </c>
      <c r="K162" t="s">
        <v>21</v>
      </c>
      <c r="L162">
        <f t="shared" si="4"/>
        <v>10</v>
      </c>
      <c r="M162" t="str">
        <f t="shared" si="5"/>
        <v>35–49</v>
      </c>
    </row>
    <row r="163" spans="1:13">
      <c r="A163" t="s">
        <v>369</v>
      </c>
      <c r="B163" t="s">
        <v>370</v>
      </c>
      <c r="C163">
        <v>77</v>
      </c>
      <c r="D163" t="s">
        <v>13</v>
      </c>
      <c r="E163" s="2">
        <v>45475</v>
      </c>
      <c r="F163" s="2">
        <v>45476</v>
      </c>
      <c r="G163" t="s">
        <v>24</v>
      </c>
      <c r="H163" t="s">
        <v>25</v>
      </c>
      <c r="I163" s="3">
        <v>1403.37</v>
      </c>
      <c r="J163" s="4">
        <v>80</v>
      </c>
      <c r="K163" t="s">
        <v>21</v>
      </c>
      <c r="L163">
        <f t="shared" si="4"/>
        <v>1</v>
      </c>
      <c r="M163" t="str">
        <f t="shared" si="5"/>
        <v>65+</v>
      </c>
    </row>
    <row r="164" spans="1:13">
      <c r="A164" t="s">
        <v>371</v>
      </c>
      <c r="B164" t="s">
        <v>349</v>
      </c>
      <c r="C164">
        <v>69</v>
      </c>
      <c r="D164" t="s">
        <v>19</v>
      </c>
      <c r="E164" s="2">
        <v>45417</v>
      </c>
      <c r="F164" s="2">
        <v>45420</v>
      </c>
      <c r="G164" t="s">
        <v>24</v>
      </c>
      <c r="H164" t="s">
        <v>205</v>
      </c>
      <c r="I164" s="3">
        <v>3350.67</v>
      </c>
      <c r="J164" s="4">
        <v>80</v>
      </c>
      <c r="K164" t="s">
        <v>21</v>
      </c>
      <c r="L164">
        <f t="shared" si="4"/>
        <v>3</v>
      </c>
      <c r="M164" t="str">
        <f t="shared" si="5"/>
        <v>65+</v>
      </c>
    </row>
    <row r="165" spans="1:13">
      <c r="A165" t="s">
        <v>372</v>
      </c>
      <c r="B165" t="s">
        <v>373</v>
      </c>
      <c r="C165">
        <v>52</v>
      </c>
      <c r="D165" t="s">
        <v>19</v>
      </c>
      <c r="E165" s="2">
        <v>45324</v>
      </c>
      <c r="F165" s="2">
        <v>45326</v>
      </c>
      <c r="G165" t="s">
        <v>24</v>
      </c>
      <c r="H165" t="s">
        <v>205</v>
      </c>
      <c r="I165" s="3">
        <v>2922.92</v>
      </c>
      <c r="J165" s="4">
        <v>100</v>
      </c>
      <c r="K165" t="s">
        <v>21</v>
      </c>
      <c r="L165">
        <f t="shared" si="4"/>
        <v>2</v>
      </c>
      <c r="M165" t="str">
        <f t="shared" si="5"/>
        <v>50–64</v>
      </c>
    </row>
    <row r="166" spans="1:13">
      <c r="A166" t="s">
        <v>374</v>
      </c>
      <c r="B166" t="s">
        <v>375</v>
      </c>
      <c r="C166">
        <v>67</v>
      </c>
      <c r="D166" t="s">
        <v>19</v>
      </c>
      <c r="E166" s="2">
        <v>45617</v>
      </c>
      <c r="F166" s="2">
        <v>45619</v>
      </c>
      <c r="G166" t="s">
        <v>24</v>
      </c>
      <c r="H166" t="s">
        <v>205</v>
      </c>
      <c r="I166" s="3">
        <v>2127.71</v>
      </c>
      <c r="J166" s="4">
        <v>90</v>
      </c>
      <c r="K166" t="s">
        <v>26</v>
      </c>
      <c r="L166">
        <f t="shared" si="4"/>
        <v>2</v>
      </c>
      <c r="M166" t="str">
        <f t="shared" si="5"/>
        <v>65+</v>
      </c>
    </row>
    <row r="167" spans="1:13">
      <c r="A167" t="s">
        <v>376</v>
      </c>
      <c r="B167" t="s">
        <v>221</v>
      </c>
      <c r="C167">
        <v>75</v>
      </c>
      <c r="D167" t="s">
        <v>19</v>
      </c>
      <c r="E167" s="2">
        <v>45913</v>
      </c>
      <c r="F167" s="2">
        <v>45922</v>
      </c>
      <c r="G167" t="s">
        <v>14</v>
      </c>
      <c r="H167" t="s">
        <v>166</v>
      </c>
      <c r="I167" s="3">
        <v>15507.09</v>
      </c>
      <c r="J167" s="4">
        <v>90</v>
      </c>
      <c r="K167" t="s">
        <v>16</v>
      </c>
      <c r="L167">
        <f t="shared" si="4"/>
        <v>9</v>
      </c>
      <c r="M167" t="str">
        <f t="shared" si="5"/>
        <v>65+</v>
      </c>
    </row>
    <row r="168" spans="1:13">
      <c r="A168" t="s">
        <v>377</v>
      </c>
      <c r="B168" t="s">
        <v>378</v>
      </c>
      <c r="C168">
        <v>3</v>
      </c>
      <c r="D168" t="s">
        <v>13</v>
      </c>
      <c r="E168" s="2">
        <v>45884</v>
      </c>
      <c r="F168" s="2">
        <v>45886</v>
      </c>
      <c r="G168" t="s">
        <v>50</v>
      </c>
      <c r="H168" t="s">
        <v>379</v>
      </c>
      <c r="I168" s="3">
        <v>2767.57</v>
      </c>
      <c r="J168" s="4">
        <v>50</v>
      </c>
      <c r="K168" t="s">
        <v>16</v>
      </c>
      <c r="L168">
        <f t="shared" si="4"/>
        <v>2</v>
      </c>
      <c r="M168" t="str">
        <f t="shared" si="5"/>
        <v>0–17</v>
      </c>
    </row>
    <row r="169" spans="1:13">
      <c r="A169" t="s">
        <v>380</v>
      </c>
      <c r="B169" t="s">
        <v>381</v>
      </c>
      <c r="C169">
        <v>82</v>
      </c>
      <c r="D169" t="s">
        <v>19</v>
      </c>
      <c r="E169" s="2">
        <v>45869</v>
      </c>
      <c r="F169" s="2">
        <v>45870</v>
      </c>
      <c r="G169" t="s">
        <v>24</v>
      </c>
      <c r="H169" t="s">
        <v>25</v>
      </c>
      <c r="I169" s="3">
        <v>1998.09</v>
      </c>
      <c r="J169" s="4">
        <v>80</v>
      </c>
      <c r="K169" t="s">
        <v>16</v>
      </c>
      <c r="L169">
        <f t="shared" si="4"/>
        <v>1</v>
      </c>
      <c r="M169" t="str">
        <f t="shared" si="5"/>
        <v>65+</v>
      </c>
    </row>
    <row r="170" spans="1:13">
      <c r="A170" t="s">
        <v>382</v>
      </c>
      <c r="B170" t="s">
        <v>383</v>
      </c>
      <c r="C170">
        <v>16</v>
      </c>
      <c r="D170" t="s">
        <v>19</v>
      </c>
      <c r="E170" s="2">
        <v>45748</v>
      </c>
      <c r="F170" s="2">
        <v>45753</v>
      </c>
      <c r="G170" t="s">
        <v>50</v>
      </c>
      <c r="H170" t="s">
        <v>131</v>
      </c>
      <c r="I170" s="3">
        <v>6351.72</v>
      </c>
      <c r="J170" s="4">
        <v>60</v>
      </c>
      <c r="K170" t="s">
        <v>16</v>
      </c>
      <c r="L170">
        <f t="shared" si="4"/>
        <v>5</v>
      </c>
      <c r="M170" t="str">
        <f t="shared" si="5"/>
        <v>0–17</v>
      </c>
    </row>
    <row r="171" spans="1:13">
      <c r="A171" t="s">
        <v>384</v>
      </c>
      <c r="B171" t="s">
        <v>385</v>
      </c>
      <c r="C171">
        <v>47</v>
      </c>
      <c r="D171" t="s">
        <v>13</v>
      </c>
      <c r="E171" s="2">
        <v>45697</v>
      </c>
      <c r="F171" s="2">
        <v>45699</v>
      </c>
      <c r="G171" t="s">
        <v>24</v>
      </c>
      <c r="H171" t="s">
        <v>42</v>
      </c>
      <c r="I171" s="3">
        <v>2177.35</v>
      </c>
      <c r="J171" s="4">
        <v>80</v>
      </c>
      <c r="K171" t="s">
        <v>16</v>
      </c>
      <c r="L171">
        <f t="shared" si="4"/>
        <v>2</v>
      </c>
      <c r="M171" t="str">
        <f t="shared" si="5"/>
        <v>35–49</v>
      </c>
    </row>
    <row r="172" spans="1:13">
      <c r="A172" t="s">
        <v>386</v>
      </c>
      <c r="B172" t="s">
        <v>387</v>
      </c>
      <c r="C172">
        <v>52</v>
      </c>
      <c r="D172" t="s">
        <v>19</v>
      </c>
      <c r="E172" s="2">
        <v>45820</v>
      </c>
      <c r="F172" s="2">
        <v>45823</v>
      </c>
      <c r="G172" t="s">
        <v>14</v>
      </c>
      <c r="H172" t="s">
        <v>20</v>
      </c>
      <c r="I172" s="3">
        <v>4484.95</v>
      </c>
      <c r="J172" s="4">
        <v>80</v>
      </c>
      <c r="K172" t="s">
        <v>16</v>
      </c>
      <c r="L172">
        <f t="shared" si="4"/>
        <v>3</v>
      </c>
      <c r="M172" t="str">
        <f t="shared" si="5"/>
        <v>50–64</v>
      </c>
    </row>
    <row r="173" spans="1:13">
      <c r="A173" t="s">
        <v>388</v>
      </c>
      <c r="B173" t="s">
        <v>389</v>
      </c>
      <c r="C173">
        <v>81</v>
      </c>
      <c r="D173" t="s">
        <v>13</v>
      </c>
      <c r="E173" s="2">
        <v>45532</v>
      </c>
      <c r="F173" s="2">
        <v>45534</v>
      </c>
      <c r="G173" t="s">
        <v>24</v>
      </c>
      <c r="H173" t="s">
        <v>222</v>
      </c>
      <c r="I173" s="3">
        <v>3381.88</v>
      </c>
      <c r="J173" s="4">
        <v>90</v>
      </c>
      <c r="K173" t="s">
        <v>16</v>
      </c>
      <c r="L173">
        <f t="shared" si="4"/>
        <v>2</v>
      </c>
      <c r="M173" t="str">
        <f t="shared" si="5"/>
        <v>65+</v>
      </c>
    </row>
    <row r="174" spans="1:13">
      <c r="A174" t="s">
        <v>390</v>
      </c>
      <c r="B174" t="s">
        <v>391</v>
      </c>
      <c r="C174">
        <v>60</v>
      </c>
      <c r="D174" t="s">
        <v>13</v>
      </c>
      <c r="E174" s="2">
        <v>45831</v>
      </c>
      <c r="F174" s="2">
        <v>45836</v>
      </c>
      <c r="G174" t="s">
        <v>61</v>
      </c>
      <c r="H174" t="s">
        <v>98</v>
      </c>
      <c r="I174" s="3">
        <v>11601.6</v>
      </c>
      <c r="J174" s="4">
        <v>70</v>
      </c>
      <c r="K174" t="s">
        <v>21</v>
      </c>
      <c r="L174">
        <f t="shared" si="4"/>
        <v>5</v>
      </c>
      <c r="M174" t="str">
        <f t="shared" si="5"/>
        <v>50–64</v>
      </c>
    </row>
    <row r="175" spans="1:13">
      <c r="A175" t="s">
        <v>392</v>
      </c>
      <c r="B175" t="s">
        <v>393</v>
      </c>
      <c r="C175">
        <v>82</v>
      </c>
      <c r="D175" t="s">
        <v>19</v>
      </c>
      <c r="E175" s="2">
        <v>45717</v>
      </c>
      <c r="F175" s="2">
        <v>45719</v>
      </c>
      <c r="G175" t="s">
        <v>24</v>
      </c>
      <c r="H175" t="s">
        <v>25</v>
      </c>
      <c r="I175" s="3">
        <v>2198.17</v>
      </c>
      <c r="J175" s="4">
        <v>90</v>
      </c>
      <c r="K175" t="s">
        <v>16</v>
      </c>
      <c r="L175">
        <f t="shared" si="4"/>
        <v>2</v>
      </c>
      <c r="M175" t="str">
        <f t="shared" si="5"/>
        <v>65+</v>
      </c>
    </row>
    <row r="176" spans="1:13">
      <c r="A176" t="s">
        <v>394</v>
      </c>
      <c r="B176" t="s">
        <v>395</v>
      </c>
      <c r="C176">
        <v>34</v>
      </c>
      <c r="D176" t="s">
        <v>19</v>
      </c>
      <c r="E176" s="2">
        <v>45934</v>
      </c>
      <c r="F176" s="2">
        <v>45947</v>
      </c>
      <c r="G176" t="s">
        <v>61</v>
      </c>
      <c r="H176" t="s">
        <v>75</v>
      </c>
      <c r="I176" s="3">
        <v>35611.43</v>
      </c>
      <c r="J176" s="4">
        <v>70</v>
      </c>
      <c r="K176" t="s">
        <v>16</v>
      </c>
      <c r="L176">
        <f t="shared" si="4"/>
        <v>13</v>
      </c>
      <c r="M176" t="str">
        <f t="shared" si="5"/>
        <v>18–34</v>
      </c>
    </row>
    <row r="177" spans="1:13">
      <c r="A177" t="s">
        <v>396</v>
      </c>
      <c r="B177" t="s">
        <v>397</v>
      </c>
      <c r="C177">
        <v>55</v>
      </c>
      <c r="D177" t="s">
        <v>13</v>
      </c>
      <c r="E177" s="2">
        <v>45798</v>
      </c>
      <c r="F177" s="2">
        <v>45803</v>
      </c>
      <c r="G177" t="s">
        <v>14</v>
      </c>
      <c r="H177" t="s">
        <v>112</v>
      </c>
      <c r="I177" s="3">
        <v>8093.35</v>
      </c>
      <c r="J177" s="4">
        <v>100</v>
      </c>
      <c r="K177" t="s">
        <v>26</v>
      </c>
      <c r="L177">
        <f t="shared" si="4"/>
        <v>5</v>
      </c>
      <c r="M177" t="str">
        <f t="shared" si="5"/>
        <v>50–64</v>
      </c>
    </row>
    <row r="178" spans="1:13">
      <c r="A178" t="s">
        <v>398</v>
      </c>
      <c r="B178" t="s">
        <v>399</v>
      </c>
      <c r="C178">
        <v>69</v>
      </c>
      <c r="D178" t="s">
        <v>13</v>
      </c>
      <c r="E178" s="2">
        <v>45333</v>
      </c>
      <c r="F178" s="2">
        <v>45341</v>
      </c>
      <c r="G178" t="s">
        <v>71</v>
      </c>
      <c r="H178" t="s">
        <v>238</v>
      </c>
      <c r="I178" s="3">
        <v>15311.93</v>
      </c>
      <c r="J178" s="4">
        <v>60</v>
      </c>
      <c r="K178" t="s">
        <v>21</v>
      </c>
      <c r="L178">
        <f t="shared" si="4"/>
        <v>8</v>
      </c>
      <c r="M178" t="str">
        <f t="shared" si="5"/>
        <v>65+</v>
      </c>
    </row>
    <row r="179" spans="1:13">
      <c r="A179" t="s">
        <v>400</v>
      </c>
      <c r="B179" t="s">
        <v>401</v>
      </c>
      <c r="C179">
        <v>59</v>
      </c>
      <c r="D179" t="s">
        <v>19</v>
      </c>
      <c r="E179" s="2">
        <v>45575</v>
      </c>
      <c r="F179" s="2">
        <v>45578</v>
      </c>
      <c r="G179" t="s">
        <v>24</v>
      </c>
      <c r="H179" t="s">
        <v>25</v>
      </c>
      <c r="I179" s="3">
        <v>4201.93</v>
      </c>
      <c r="J179" s="4">
        <v>80</v>
      </c>
      <c r="K179" t="s">
        <v>16</v>
      </c>
      <c r="L179">
        <f t="shared" si="4"/>
        <v>3</v>
      </c>
      <c r="M179" t="str">
        <f t="shared" si="5"/>
        <v>50–64</v>
      </c>
    </row>
    <row r="180" spans="1:13">
      <c r="A180" t="s">
        <v>402</v>
      </c>
      <c r="B180" t="s">
        <v>403</v>
      </c>
      <c r="C180">
        <v>51</v>
      </c>
      <c r="D180" t="s">
        <v>19</v>
      </c>
      <c r="E180" s="2">
        <v>45959</v>
      </c>
      <c r="F180" s="2">
        <v>45968</v>
      </c>
      <c r="G180" t="s">
        <v>61</v>
      </c>
      <c r="H180" t="s">
        <v>143</v>
      </c>
      <c r="I180" s="3">
        <v>12277.27</v>
      </c>
      <c r="J180" s="4">
        <v>90</v>
      </c>
      <c r="K180" t="s">
        <v>16</v>
      </c>
      <c r="L180">
        <f t="shared" si="4"/>
        <v>9</v>
      </c>
      <c r="M180" t="str">
        <f t="shared" si="5"/>
        <v>50–64</v>
      </c>
    </row>
    <row r="181" spans="1:13">
      <c r="A181" t="s">
        <v>404</v>
      </c>
      <c r="B181" t="s">
        <v>405</v>
      </c>
      <c r="C181">
        <v>7</v>
      </c>
      <c r="D181" t="s">
        <v>19</v>
      </c>
      <c r="E181" s="2">
        <v>45785</v>
      </c>
      <c r="F181" s="2">
        <v>45789</v>
      </c>
      <c r="G181" t="s">
        <v>50</v>
      </c>
      <c r="H181" t="s">
        <v>124</v>
      </c>
      <c r="I181" s="3">
        <v>4150.83</v>
      </c>
      <c r="J181" s="4">
        <v>70</v>
      </c>
      <c r="K181" t="s">
        <v>21</v>
      </c>
      <c r="L181">
        <f t="shared" si="4"/>
        <v>4</v>
      </c>
      <c r="M181" t="str">
        <f t="shared" si="5"/>
        <v>0–17</v>
      </c>
    </row>
    <row r="182" spans="1:13">
      <c r="A182" t="s">
        <v>406</v>
      </c>
      <c r="B182" t="s">
        <v>407</v>
      </c>
      <c r="C182">
        <v>27</v>
      </c>
      <c r="D182" t="s">
        <v>13</v>
      </c>
      <c r="E182" s="2">
        <v>45300</v>
      </c>
      <c r="F182" s="2">
        <v>45303</v>
      </c>
      <c r="G182" t="s">
        <v>32</v>
      </c>
      <c r="H182" t="s">
        <v>235</v>
      </c>
      <c r="I182" s="3">
        <v>2123.81</v>
      </c>
      <c r="J182" s="4">
        <v>100</v>
      </c>
      <c r="K182" t="s">
        <v>16</v>
      </c>
      <c r="L182">
        <f t="shared" si="4"/>
        <v>3</v>
      </c>
      <c r="M182" t="str">
        <f t="shared" si="5"/>
        <v>18–34</v>
      </c>
    </row>
    <row r="183" spans="1:13">
      <c r="A183" t="s">
        <v>408</v>
      </c>
      <c r="B183" t="s">
        <v>409</v>
      </c>
      <c r="C183">
        <v>56</v>
      </c>
      <c r="D183" t="s">
        <v>19</v>
      </c>
      <c r="E183" s="2">
        <v>45678</v>
      </c>
      <c r="F183" s="2">
        <v>45691</v>
      </c>
      <c r="G183" t="s">
        <v>61</v>
      </c>
      <c r="H183" t="s">
        <v>78</v>
      </c>
      <c r="I183" s="3">
        <v>29767.07</v>
      </c>
      <c r="J183" s="4">
        <v>80</v>
      </c>
      <c r="K183" t="s">
        <v>21</v>
      </c>
      <c r="L183">
        <f t="shared" si="4"/>
        <v>13</v>
      </c>
      <c r="M183" t="str">
        <f t="shared" si="5"/>
        <v>50–64</v>
      </c>
    </row>
    <row r="184" spans="1:13">
      <c r="A184" t="s">
        <v>410</v>
      </c>
      <c r="B184" t="s">
        <v>411</v>
      </c>
      <c r="C184">
        <v>8</v>
      </c>
      <c r="D184" t="s">
        <v>13</v>
      </c>
      <c r="E184" s="2">
        <v>45825</v>
      </c>
      <c r="F184" s="2">
        <v>45830</v>
      </c>
      <c r="G184" t="s">
        <v>50</v>
      </c>
      <c r="H184" t="s">
        <v>118</v>
      </c>
      <c r="I184" s="3">
        <v>5537.93</v>
      </c>
      <c r="J184" s="4">
        <v>90</v>
      </c>
      <c r="K184" t="s">
        <v>16</v>
      </c>
      <c r="L184">
        <f t="shared" si="4"/>
        <v>5</v>
      </c>
      <c r="M184" t="str">
        <f t="shared" si="5"/>
        <v>0–17</v>
      </c>
    </row>
    <row r="185" spans="1:13">
      <c r="A185" t="s">
        <v>412</v>
      </c>
      <c r="B185" t="s">
        <v>413</v>
      </c>
      <c r="C185">
        <v>77</v>
      </c>
      <c r="D185" t="s">
        <v>13</v>
      </c>
      <c r="E185" s="2">
        <v>45891</v>
      </c>
      <c r="F185" s="2">
        <v>45897</v>
      </c>
      <c r="G185" t="s">
        <v>32</v>
      </c>
      <c r="H185" t="s">
        <v>36</v>
      </c>
      <c r="I185" s="3">
        <v>7949.08</v>
      </c>
      <c r="J185" s="4">
        <v>60</v>
      </c>
      <c r="K185" t="s">
        <v>16</v>
      </c>
      <c r="L185">
        <f t="shared" si="4"/>
        <v>6</v>
      </c>
      <c r="M185" t="str">
        <f t="shared" si="5"/>
        <v>65+</v>
      </c>
    </row>
    <row r="186" spans="1:13">
      <c r="A186" t="s">
        <v>414</v>
      </c>
      <c r="B186" t="s">
        <v>415</v>
      </c>
      <c r="C186">
        <v>3</v>
      </c>
      <c r="D186" t="s">
        <v>13</v>
      </c>
      <c r="E186" s="2">
        <v>45651</v>
      </c>
      <c r="F186" s="2">
        <v>45655</v>
      </c>
      <c r="G186" t="s">
        <v>50</v>
      </c>
      <c r="H186" t="s">
        <v>124</v>
      </c>
      <c r="I186" s="3">
        <v>6607.88</v>
      </c>
      <c r="J186" s="4">
        <v>70</v>
      </c>
      <c r="K186" t="s">
        <v>16</v>
      </c>
      <c r="L186">
        <f t="shared" si="4"/>
        <v>4</v>
      </c>
      <c r="M186" t="str">
        <f t="shared" si="5"/>
        <v>0–17</v>
      </c>
    </row>
    <row r="187" spans="1:13">
      <c r="A187" t="s">
        <v>416</v>
      </c>
      <c r="B187" t="s">
        <v>417</v>
      </c>
      <c r="C187">
        <v>12</v>
      </c>
      <c r="D187" t="s">
        <v>19</v>
      </c>
      <c r="E187" s="2">
        <v>45548</v>
      </c>
      <c r="F187" s="2">
        <v>45551</v>
      </c>
      <c r="G187" t="s">
        <v>50</v>
      </c>
      <c r="H187" t="s">
        <v>121</v>
      </c>
      <c r="I187" s="3">
        <v>4728.71</v>
      </c>
      <c r="J187" s="4">
        <v>50</v>
      </c>
      <c r="K187" t="s">
        <v>16</v>
      </c>
      <c r="L187">
        <f t="shared" si="4"/>
        <v>3</v>
      </c>
      <c r="M187" t="str">
        <f t="shared" si="5"/>
        <v>0–17</v>
      </c>
    </row>
    <row r="188" spans="1:13">
      <c r="A188" t="s">
        <v>418</v>
      </c>
      <c r="B188" t="s">
        <v>419</v>
      </c>
      <c r="C188">
        <v>83</v>
      </c>
      <c r="D188" t="s">
        <v>19</v>
      </c>
      <c r="E188" s="2">
        <v>45352</v>
      </c>
      <c r="F188" s="2">
        <v>45360</v>
      </c>
      <c r="G188" t="s">
        <v>14</v>
      </c>
      <c r="H188" t="s">
        <v>20</v>
      </c>
      <c r="I188" s="3">
        <v>15664.73</v>
      </c>
      <c r="J188" s="4">
        <v>80</v>
      </c>
      <c r="K188" t="s">
        <v>16</v>
      </c>
      <c r="L188">
        <f t="shared" si="4"/>
        <v>8</v>
      </c>
      <c r="M188" t="str">
        <f t="shared" si="5"/>
        <v>65+</v>
      </c>
    </row>
    <row r="189" spans="1:13">
      <c r="A189" t="s">
        <v>420</v>
      </c>
      <c r="B189" t="s">
        <v>421</v>
      </c>
      <c r="C189">
        <v>53</v>
      </c>
      <c r="D189" t="s">
        <v>19</v>
      </c>
      <c r="E189" s="2">
        <v>45951</v>
      </c>
      <c r="F189" s="2">
        <v>45955</v>
      </c>
      <c r="G189" t="s">
        <v>32</v>
      </c>
      <c r="H189" t="s">
        <v>235</v>
      </c>
      <c r="I189" s="3">
        <v>2716.52</v>
      </c>
      <c r="J189" s="4">
        <v>0</v>
      </c>
      <c r="K189" t="s">
        <v>26</v>
      </c>
      <c r="L189">
        <f t="shared" si="4"/>
        <v>4</v>
      </c>
      <c r="M189" t="str">
        <f t="shared" si="5"/>
        <v>50–64</v>
      </c>
    </row>
    <row r="190" spans="1:13">
      <c r="A190" t="s">
        <v>422</v>
      </c>
      <c r="B190" t="s">
        <v>423</v>
      </c>
      <c r="C190">
        <v>29</v>
      </c>
      <c r="D190" t="s">
        <v>19</v>
      </c>
      <c r="E190" s="2">
        <v>45643</v>
      </c>
      <c r="F190" s="2">
        <v>45644</v>
      </c>
      <c r="G190" t="s">
        <v>32</v>
      </c>
      <c r="H190" t="s">
        <v>115</v>
      </c>
      <c r="I190" s="3">
        <v>716.18</v>
      </c>
      <c r="J190" s="4">
        <v>80</v>
      </c>
      <c r="K190" t="s">
        <v>16</v>
      </c>
      <c r="L190">
        <f t="shared" si="4"/>
        <v>1</v>
      </c>
      <c r="M190" t="str">
        <f t="shared" si="5"/>
        <v>18–34</v>
      </c>
    </row>
    <row r="191" spans="1:13">
      <c r="A191" t="s">
        <v>424</v>
      </c>
      <c r="B191" t="s">
        <v>347</v>
      </c>
      <c r="C191">
        <v>49</v>
      </c>
      <c r="D191" t="s">
        <v>19</v>
      </c>
      <c r="E191" s="2">
        <v>45738</v>
      </c>
      <c r="F191" s="2">
        <v>45741</v>
      </c>
      <c r="G191" t="s">
        <v>71</v>
      </c>
      <c r="H191" t="s">
        <v>158</v>
      </c>
      <c r="I191" s="3">
        <v>3478.78</v>
      </c>
      <c r="J191" s="4">
        <v>80</v>
      </c>
      <c r="K191" t="s">
        <v>16</v>
      </c>
      <c r="L191">
        <f t="shared" si="4"/>
        <v>3</v>
      </c>
      <c r="M191" t="str">
        <f t="shared" si="5"/>
        <v>35–49</v>
      </c>
    </row>
    <row r="192" spans="1:13">
      <c r="A192" t="s">
        <v>425</v>
      </c>
      <c r="B192" t="s">
        <v>426</v>
      </c>
      <c r="C192">
        <v>48</v>
      </c>
      <c r="D192" t="s">
        <v>19</v>
      </c>
      <c r="E192" s="2">
        <v>45979</v>
      </c>
      <c r="F192" s="2">
        <v>45985</v>
      </c>
      <c r="G192" t="s">
        <v>32</v>
      </c>
      <c r="H192" t="s">
        <v>54</v>
      </c>
      <c r="I192" s="3">
        <v>3693.12</v>
      </c>
      <c r="J192" s="4">
        <v>100</v>
      </c>
      <c r="K192" t="s">
        <v>21</v>
      </c>
      <c r="L192">
        <f t="shared" si="4"/>
        <v>6</v>
      </c>
      <c r="M192" t="str">
        <f t="shared" si="5"/>
        <v>35–49</v>
      </c>
    </row>
    <row r="193" spans="1:13">
      <c r="A193" t="s">
        <v>427</v>
      </c>
      <c r="B193" t="s">
        <v>428</v>
      </c>
      <c r="C193">
        <v>80</v>
      </c>
      <c r="D193" t="s">
        <v>19</v>
      </c>
      <c r="E193" s="2">
        <v>45362</v>
      </c>
      <c r="F193" s="2">
        <v>45363</v>
      </c>
      <c r="G193" t="s">
        <v>32</v>
      </c>
      <c r="H193" t="s">
        <v>115</v>
      </c>
      <c r="I193" s="3">
        <v>1441.21</v>
      </c>
      <c r="J193" s="4">
        <v>0</v>
      </c>
      <c r="K193" t="s">
        <v>16</v>
      </c>
      <c r="L193">
        <f t="shared" si="4"/>
        <v>1</v>
      </c>
      <c r="M193" t="str">
        <f t="shared" si="5"/>
        <v>65+</v>
      </c>
    </row>
    <row r="194" spans="1:13">
      <c r="A194" t="s">
        <v>429</v>
      </c>
      <c r="B194" t="s">
        <v>430</v>
      </c>
      <c r="C194">
        <v>52</v>
      </c>
      <c r="D194" t="s">
        <v>19</v>
      </c>
      <c r="E194" s="2">
        <v>45639</v>
      </c>
      <c r="F194" s="2">
        <v>45645</v>
      </c>
      <c r="G194" t="s">
        <v>32</v>
      </c>
      <c r="H194" t="s">
        <v>115</v>
      </c>
      <c r="I194" s="3">
        <v>8378.4500000000007</v>
      </c>
      <c r="J194" s="4">
        <v>70</v>
      </c>
      <c r="K194" t="s">
        <v>21</v>
      </c>
      <c r="L194">
        <f t="shared" si="4"/>
        <v>6</v>
      </c>
      <c r="M194" t="str">
        <f t="shared" si="5"/>
        <v>50–64</v>
      </c>
    </row>
    <row r="195" spans="1:13">
      <c r="A195" t="s">
        <v>431</v>
      </c>
      <c r="B195" t="s">
        <v>432</v>
      </c>
      <c r="C195">
        <v>77</v>
      </c>
      <c r="D195" t="s">
        <v>19</v>
      </c>
      <c r="E195" s="2">
        <v>45585</v>
      </c>
      <c r="F195" s="2">
        <v>45595</v>
      </c>
      <c r="G195" t="s">
        <v>14</v>
      </c>
      <c r="H195" t="s">
        <v>15</v>
      </c>
      <c r="I195" s="3">
        <v>16501.419999999998</v>
      </c>
      <c r="J195" s="4">
        <v>50</v>
      </c>
      <c r="K195" t="s">
        <v>16</v>
      </c>
      <c r="L195">
        <f t="shared" ref="L195:L258" si="6">F195-E195</f>
        <v>10</v>
      </c>
      <c r="M195" t="str">
        <f t="shared" ref="M195:M258" si="7">IF(C195&lt;=17,"0–17",IF(C195&lt;=34,"18–34",IF(C195&lt;=49,"35–49",IF(C195&lt;=64,"50–64","65+"))))</f>
        <v>65+</v>
      </c>
    </row>
    <row r="196" spans="1:13">
      <c r="A196" t="s">
        <v>433</v>
      </c>
      <c r="B196" t="s">
        <v>434</v>
      </c>
      <c r="C196">
        <v>53</v>
      </c>
      <c r="D196" t="s">
        <v>19</v>
      </c>
      <c r="E196" s="2">
        <v>45798</v>
      </c>
      <c r="F196" s="2">
        <v>45807</v>
      </c>
      <c r="G196" t="s">
        <v>14</v>
      </c>
      <c r="H196" t="s">
        <v>103</v>
      </c>
      <c r="I196" s="3">
        <v>18430.509999999998</v>
      </c>
      <c r="J196" s="4">
        <v>100</v>
      </c>
      <c r="K196" t="s">
        <v>16</v>
      </c>
      <c r="L196">
        <f t="shared" si="6"/>
        <v>9</v>
      </c>
      <c r="M196" t="str">
        <f t="shared" si="7"/>
        <v>50–64</v>
      </c>
    </row>
    <row r="197" spans="1:13">
      <c r="A197" t="s">
        <v>435</v>
      </c>
      <c r="B197" t="s">
        <v>436</v>
      </c>
      <c r="C197">
        <v>42</v>
      </c>
      <c r="D197" t="s">
        <v>13</v>
      </c>
      <c r="E197" s="2">
        <v>45550</v>
      </c>
      <c r="F197" s="2">
        <v>45553</v>
      </c>
      <c r="G197" t="s">
        <v>32</v>
      </c>
      <c r="H197" t="s">
        <v>88</v>
      </c>
      <c r="I197" s="3">
        <v>1567.15</v>
      </c>
      <c r="J197" s="4">
        <v>80</v>
      </c>
      <c r="K197" t="s">
        <v>26</v>
      </c>
      <c r="L197">
        <f t="shared" si="6"/>
        <v>3</v>
      </c>
      <c r="M197" t="str">
        <f t="shared" si="7"/>
        <v>35–49</v>
      </c>
    </row>
    <row r="198" spans="1:13">
      <c r="A198" t="s">
        <v>437</v>
      </c>
      <c r="B198" t="s">
        <v>204</v>
      </c>
      <c r="C198">
        <v>61</v>
      </c>
      <c r="D198" t="s">
        <v>19</v>
      </c>
      <c r="E198" s="2">
        <v>45545</v>
      </c>
      <c r="F198" s="2">
        <v>45546</v>
      </c>
      <c r="G198" t="s">
        <v>24</v>
      </c>
      <c r="H198" t="s">
        <v>42</v>
      </c>
      <c r="I198" s="3">
        <v>917.44</v>
      </c>
      <c r="J198" s="4">
        <v>80</v>
      </c>
      <c r="K198" t="s">
        <v>16</v>
      </c>
      <c r="L198">
        <f t="shared" si="6"/>
        <v>1</v>
      </c>
      <c r="M198" t="str">
        <f t="shared" si="7"/>
        <v>50–64</v>
      </c>
    </row>
    <row r="199" spans="1:13">
      <c r="A199" t="s">
        <v>438</v>
      </c>
      <c r="B199" t="s">
        <v>133</v>
      </c>
      <c r="C199">
        <v>81</v>
      </c>
      <c r="D199" t="s">
        <v>19</v>
      </c>
      <c r="E199" s="2">
        <v>45994</v>
      </c>
      <c r="F199" s="2">
        <v>46003</v>
      </c>
      <c r="G199" t="s">
        <v>14</v>
      </c>
      <c r="H199" t="s">
        <v>103</v>
      </c>
      <c r="I199" s="3">
        <v>18345.38</v>
      </c>
      <c r="J199" s="4">
        <v>80</v>
      </c>
      <c r="K199" t="s">
        <v>21</v>
      </c>
      <c r="L199">
        <f t="shared" si="6"/>
        <v>9</v>
      </c>
      <c r="M199" t="str">
        <f t="shared" si="7"/>
        <v>65+</v>
      </c>
    </row>
    <row r="200" spans="1:13">
      <c r="A200" t="s">
        <v>439</v>
      </c>
      <c r="B200" t="s">
        <v>440</v>
      </c>
      <c r="C200">
        <v>53</v>
      </c>
      <c r="D200" t="s">
        <v>19</v>
      </c>
      <c r="E200" s="2">
        <v>45626</v>
      </c>
      <c r="F200" s="2">
        <v>45635</v>
      </c>
      <c r="G200" t="s">
        <v>71</v>
      </c>
      <c r="H200" t="s">
        <v>72</v>
      </c>
      <c r="I200" s="3">
        <v>19211.240000000002</v>
      </c>
      <c r="J200" s="4">
        <v>90</v>
      </c>
      <c r="K200" t="s">
        <v>16</v>
      </c>
      <c r="L200">
        <f t="shared" si="6"/>
        <v>9</v>
      </c>
      <c r="M200" t="str">
        <f t="shared" si="7"/>
        <v>50–64</v>
      </c>
    </row>
    <row r="201" spans="1:13">
      <c r="A201" t="s">
        <v>441</v>
      </c>
      <c r="B201" t="s">
        <v>442</v>
      </c>
      <c r="C201">
        <v>48</v>
      </c>
      <c r="D201" t="s">
        <v>13</v>
      </c>
      <c r="E201" s="2">
        <v>45805</v>
      </c>
      <c r="F201" s="2">
        <v>45809</v>
      </c>
      <c r="G201" t="s">
        <v>14</v>
      </c>
      <c r="H201" t="s">
        <v>20</v>
      </c>
      <c r="I201" s="3">
        <v>10336.58</v>
      </c>
      <c r="J201" s="4">
        <v>100</v>
      </c>
      <c r="K201" t="s">
        <v>16</v>
      </c>
      <c r="L201">
        <f t="shared" si="6"/>
        <v>4</v>
      </c>
      <c r="M201" t="str">
        <f t="shared" si="7"/>
        <v>35–49</v>
      </c>
    </row>
    <row r="202" spans="1:13">
      <c r="A202" t="s">
        <v>443</v>
      </c>
      <c r="B202" t="s">
        <v>444</v>
      </c>
      <c r="C202">
        <v>64</v>
      </c>
      <c r="D202" t="s">
        <v>19</v>
      </c>
      <c r="E202" s="2">
        <v>45705</v>
      </c>
      <c r="F202" s="2">
        <v>45712</v>
      </c>
      <c r="G202" t="s">
        <v>32</v>
      </c>
      <c r="H202" t="s">
        <v>235</v>
      </c>
      <c r="I202" s="3">
        <v>4926.12</v>
      </c>
      <c r="J202" s="4">
        <v>70</v>
      </c>
      <c r="K202" t="s">
        <v>21</v>
      </c>
      <c r="L202">
        <f t="shared" si="6"/>
        <v>7</v>
      </c>
      <c r="M202" t="str">
        <f t="shared" si="7"/>
        <v>50–64</v>
      </c>
    </row>
    <row r="203" spans="1:13">
      <c r="A203" t="s">
        <v>445</v>
      </c>
      <c r="B203" t="s">
        <v>446</v>
      </c>
      <c r="C203">
        <v>80</v>
      </c>
      <c r="D203" t="s">
        <v>19</v>
      </c>
      <c r="E203" s="2">
        <v>45491</v>
      </c>
      <c r="F203" s="2">
        <v>45497</v>
      </c>
      <c r="G203" t="s">
        <v>71</v>
      </c>
      <c r="H203" t="s">
        <v>296</v>
      </c>
      <c r="I203" s="3">
        <v>13102.72</v>
      </c>
      <c r="J203" s="4">
        <v>50</v>
      </c>
      <c r="K203" t="s">
        <v>21</v>
      </c>
      <c r="L203">
        <f t="shared" si="6"/>
        <v>6</v>
      </c>
      <c r="M203" t="str">
        <f t="shared" si="7"/>
        <v>65+</v>
      </c>
    </row>
    <row r="204" spans="1:13">
      <c r="A204" t="s">
        <v>447</v>
      </c>
      <c r="B204" t="s">
        <v>448</v>
      </c>
      <c r="C204">
        <v>56</v>
      </c>
      <c r="D204" t="s">
        <v>13</v>
      </c>
      <c r="E204" s="2">
        <v>45355</v>
      </c>
      <c r="F204" s="2">
        <v>45362</v>
      </c>
      <c r="G204" t="s">
        <v>32</v>
      </c>
      <c r="H204" t="s">
        <v>36</v>
      </c>
      <c r="I204" s="3">
        <v>4595.79</v>
      </c>
      <c r="J204" s="4">
        <v>80</v>
      </c>
      <c r="K204" t="s">
        <v>16</v>
      </c>
      <c r="L204">
        <f t="shared" si="6"/>
        <v>7</v>
      </c>
      <c r="M204" t="str">
        <f t="shared" si="7"/>
        <v>50–64</v>
      </c>
    </row>
    <row r="205" spans="1:13">
      <c r="A205" t="s">
        <v>449</v>
      </c>
      <c r="B205" t="s">
        <v>450</v>
      </c>
      <c r="C205">
        <v>63</v>
      </c>
      <c r="D205" t="s">
        <v>13</v>
      </c>
      <c r="E205" s="2">
        <v>45625</v>
      </c>
      <c r="F205" s="2">
        <v>45628</v>
      </c>
      <c r="G205" t="s">
        <v>24</v>
      </c>
      <c r="H205" t="s">
        <v>205</v>
      </c>
      <c r="I205" s="3">
        <v>3717.61</v>
      </c>
      <c r="J205" s="4">
        <v>90</v>
      </c>
      <c r="K205" t="s">
        <v>21</v>
      </c>
      <c r="L205">
        <f t="shared" si="6"/>
        <v>3</v>
      </c>
      <c r="M205" t="str">
        <f t="shared" si="7"/>
        <v>50–64</v>
      </c>
    </row>
    <row r="206" spans="1:13">
      <c r="A206" t="s">
        <v>451</v>
      </c>
      <c r="B206" t="s">
        <v>452</v>
      </c>
      <c r="C206">
        <v>43</v>
      </c>
      <c r="D206" t="s">
        <v>13</v>
      </c>
      <c r="E206" s="2">
        <v>46012</v>
      </c>
      <c r="F206" s="2">
        <v>46025</v>
      </c>
      <c r="G206" t="s">
        <v>61</v>
      </c>
      <c r="H206" t="s">
        <v>98</v>
      </c>
      <c r="I206" s="3">
        <v>33810.44</v>
      </c>
      <c r="J206" s="4">
        <v>90</v>
      </c>
      <c r="K206" t="s">
        <v>16</v>
      </c>
      <c r="L206">
        <f t="shared" si="6"/>
        <v>13</v>
      </c>
      <c r="M206" t="str">
        <f t="shared" si="7"/>
        <v>35–49</v>
      </c>
    </row>
    <row r="207" spans="1:13">
      <c r="A207" t="s">
        <v>453</v>
      </c>
      <c r="B207" t="s">
        <v>355</v>
      </c>
      <c r="C207">
        <v>8</v>
      </c>
      <c r="D207" t="s">
        <v>19</v>
      </c>
      <c r="E207" s="2">
        <v>45660</v>
      </c>
      <c r="F207" s="2">
        <v>45664</v>
      </c>
      <c r="G207" t="s">
        <v>50</v>
      </c>
      <c r="H207" t="s">
        <v>118</v>
      </c>
      <c r="I207" s="3">
        <v>4115.83</v>
      </c>
      <c r="J207" s="4">
        <v>50</v>
      </c>
      <c r="K207" t="s">
        <v>16</v>
      </c>
      <c r="L207">
        <f t="shared" si="6"/>
        <v>4</v>
      </c>
      <c r="M207" t="str">
        <f t="shared" si="7"/>
        <v>0–17</v>
      </c>
    </row>
    <row r="208" spans="1:13">
      <c r="A208" t="s">
        <v>454</v>
      </c>
      <c r="B208" t="s">
        <v>455</v>
      </c>
      <c r="C208">
        <v>56</v>
      </c>
      <c r="D208" t="s">
        <v>19</v>
      </c>
      <c r="E208" s="2">
        <v>45748</v>
      </c>
      <c r="F208" s="2">
        <v>45754</v>
      </c>
      <c r="G208" t="s">
        <v>32</v>
      </c>
      <c r="H208" t="s">
        <v>36</v>
      </c>
      <c r="I208" s="3">
        <v>8245.4599999999991</v>
      </c>
      <c r="J208" s="4">
        <v>50</v>
      </c>
      <c r="K208" t="s">
        <v>26</v>
      </c>
      <c r="L208">
        <f t="shared" si="6"/>
        <v>6</v>
      </c>
      <c r="M208" t="str">
        <f t="shared" si="7"/>
        <v>50–64</v>
      </c>
    </row>
    <row r="209" spans="1:13">
      <c r="A209" t="s">
        <v>456</v>
      </c>
      <c r="B209" t="s">
        <v>457</v>
      </c>
      <c r="C209">
        <v>11</v>
      </c>
      <c r="D209" t="s">
        <v>13</v>
      </c>
      <c r="E209" s="2">
        <v>45704</v>
      </c>
      <c r="F209" s="2">
        <v>45709</v>
      </c>
      <c r="G209" t="s">
        <v>50</v>
      </c>
      <c r="H209" t="s">
        <v>51</v>
      </c>
      <c r="I209" s="3">
        <v>7654.55</v>
      </c>
      <c r="J209" s="4">
        <v>100</v>
      </c>
      <c r="K209" t="s">
        <v>16</v>
      </c>
      <c r="L209">
        <f t="shared" si="6"/>
        <v>5</v>
      </c>
      <c r="M209" t="str">
        <f t="shared" si="7"/>
        <v>0–17</v>
      </c>
    </row>
    <row r="210" spans="1:13">
      <c r="A210" t="s">
        <v>458</v>
      </c>
      <c r="B210" t="s">
        <v>459</v>
      </c>
      <c r="C210">
        <v>52</v>
      </c>
      <c r="D210" t="s">
        <v>13</v>
      </c>
      <c r="E210" s="2">
        <v>45706</v>
      </c>
      <c r="F210" s="2">
        <v>45710</v>
      </c>
      <c r="G210" t="s">
        <v>71</v>
      </c>
      <c r="H210" t="s">
        <v>158</v>
      </c>
      <c r="I210" s="3">
        <v>7167.44</v>
      </c>
      <c r="J210" s="4">
        <v>80</v>
      </c>
      <c r="K210" t="s">
        <v>16</v>
      </c>
      <c r="L210">
        <f t="shared" si="6"/>
        <v>4</v>
      </c>
      <c r="M210" t="str">
        <f t="shared" si="7"/>
        <v>50–64</v>
      </c>
    </row>
    <row r="211" spans="1:13">
      <c r="A211" t="s">
        <v>460</v>
      </c>
      <c r="B211" t="s">
        <v>461</v>
      </c>
      <c r="C211">
        <v>53</v>
      </c>
      <c r="D211" t="s">
        <v>19</v>
      </c>
      <c r="E211" s="2">
        <v>45809</v>
      </c>
      <c r="F211" s="2">
        <v>45811</v>
      </c>
      <c r="G211" t="s">
        <v>24</v>
      </c>
      <c r="H211" t="s">
        <v>25</v>
      </c>
      <c r="I211" s="3">
        <v>2556.12</v>
      </c>
      <c r="J211" s="4">
        <v>80</v>
      </c>
      <c r="K211" t="s">
        <v>16</v>
      </c>
      <c r="L211">
        <f t="shared" si="6"/>
        <v>2</v>
      </c>
      <c r="M211" t="str">
        <f t="shared" si="7"/>
        <v>50–64</v>
      </c>
    </row>
    <row r="212" spans="1:13">
      <c r="A212" t="s">
        <v>462</v>
      </c>
      <c r="B212" t="s">
        <v>397</v>
      </c>
      <c r="C212">
        <v>3</v>
      </c>
      <c r="D212" t="s">
        <v>13</v>
      </c>
      <c r="E212" s="2">
        <v>45509</v>
      </c>
      <c r="F212" s="2">
        <v>45512</v>
      </c>
      <c r="G212" t="s">
        <v>50</v>
      </c>
      <c r="H212" t="s">
        <v>124</v>
      </c>
      <c r="I212" s="3">
        <v>3139.43</v>
      </c>
      <c r="J212" s="4">
        <v>80</v>
      </c>
      <c r="K212" t="s">
        <v>16</v>
      </c>
      <c r="L212">
        <f t="shared" si="6"/>
        <v>3</v>
      </c>
      <c r="M212" t="str">
        <f t="shared" si="7"/>
        <v>0–17</v>
      </c>
    </row>
    <row r="213" spans="1:13">
      <c r="A213" t="s">
        <v>463</v>
      </c>
      <c r="B213" t="s">
        <v>464</v>
      </c>
      <c r="C213">
        <v>84</v>
      </c>
      <c r="D213" t="s">
        <v>13</v>
      </c>
      <c r="E213" s="2">
        <v>45731</v>
      </c>
      <c r="F213" s="2">
        <v>45732</v>
      </c>
      <c r="G213" t="s">
        <v>24</v>
      </c>
      <c r="H213" t="s">
        <v>25</v>
      </c>
      <c r="I213" s="3">
        <v>1893.98</v>
      </c>
      <c r="J213" s="4">
        <v>90</v>
      </c>
      <c r="K213" t="s">
        <v>16</v>
      </c>
      <c r="L213">
        <f t="shared" si="6"/>
        <v>1</v>
      </c>
      <c r="M213" t="str">
        <f t="shared" si="7"/>
        <v>65+</v>
      </c>
    </row>
    <row r="214" spans="1:13">
      <c r="A214" t="s">
        <v>465</v>
      </c>
      <c r="B214" t="s">
        <v>409</v>
      </c>
      <c r="C214">
        <v>32</v>
      </c>
      <c r="D214" t="s">
        <v>19</v>
      </c>
      <c r="E214" s="2">
        <v>45834</v>
      </c>
      <c r="F214" s="2">
        <v>45840</v>
      </c>
      <c r="G214" t="s">
        <v>71</v>
      </c>
      <c r="H214" t="s">
        <v>158</v>
      </c>
      <c r="I214" s="3">
        <v>11663.48</v>
      </c>
      <c r="J214" s="4">
        <v>0</v>
      </c>
      <c r="K214" t="s">
        <v>21</v>
      </c>
      <c r="L214">
        <f t="shared" si="6"/>
        <v>6</v>
      </c>
      <c r="M214" t="str">
        <f t="shared" si="7"/>
        <v>18–34</v>
      </c>
    </row>
    <row r="215" spans="1:13">
      <c r="A215" t="s">
        <v>466</v>
      </c>
      <c r="B215" t="s">
        <v>467</v>
      </c>
      <c r="C215">
        <v>39</v>
      </c>
      <c r="D215" t="s">
        <v>19</v>
      </c>
      <c r="E215" s="2">
        <v>45541</v>
      </c>
      <c r="F215" s="2">
        <v>45544</v>
      </c>
      <c r="G215" t="s">
        <v>32</v>
      </c>
      <c r="H215" t="s">
        <v>115</v>
      </c>
      <c r="I215" s="3">
        <v>1596.88</v>
      </c>
      <c r="J215" s="4">
        <v>50</v>
      </c>
      <c r="K215" t="s">
        <v>26</v>
      </c>
      <c r="L215">
        <f t="shared" si="6"/>
        <v>3</v>
      </c>
      <c r="M215" t="str">
        <f t="shared" si="7"/>
        <v>35–49</v>
      </c>
    </row>
    <row r="216" spans="1:13">
      <c r="A216" t="s">
        <v>468</v>
      </c>
      <c r="B216" t="s">
        <v>469</v>
      </c>
      <c r="C216">
        <v>49</v>
      </c>
      <c r="D216" t="s">
        <v>19</v>
      </c>
      <c r="E216" s="2">
        <v>45508</v>
      </c>
      <c r="F216" s="2">
        <v>45513</v>
      </c>
      <c r="G216" t="s">
        <v>32</v>
      </c>
      <c r="H216" t="s">
        <v>45</v>
      </c>
      <c r="I216" s="3">
        <v>4111.79</v>
      </c>
      <c r="J216" s="4">
        <v>80</v>
      </c>
      <c r="K216" t="s">
        <v>16</v>
      </c>
      <c r="L216">
        <f t="shared" si="6"/>
        <v>5</v>
      </c>
      <c r="M216" t="str">
        <f t="shared" si="7"/>
        <v>35–49</v>
      </c>
    </row>
    <row r="217" spans="1:13">
      <c r="A217" t="s">
        <v>470</v>
      </c>
      <c r="B217" t="s">
        <v>471</v>
      </c>
      <c r="C217">
        <v>28</v>
      </c>
      <c r="D217" t="s">
        <v>13</v>
      </c>
      <c r="E217" s="2">
        <v>45375</v>
      </c>
      <c r="F217" s="2">
        <v>45378</v>
      </c>
      <c r="G217" t="s">
        <v>24</v>
      </c>
      <c r="H217" t="s">
        <v>25</v>
      </c>
      <c r="I217" s="3">
        <v>6606.32</v>
      </c>
      <c r="J217" s="4">
        <v>80</v>
      </c>
      <c r="K217" t="s">
        <v>16</v>
      </c>
      <c r="L217">
        <f t="shared" si="6"/>
        <v>3</v>
      </c>
      <c r="M217" t="str">
        <f t="shared" si="7"/>
        <v>18–34</v>
      </c>
    </row>
    <row r="218" spans="1:13">
      <c r="A218" t="s">
        <v>472</v>
      </c>
      <c r="B218" t="s">
        <v>473</v>
      </c>
      <c r="C218">
        <v>53</v>
      </c>
      <c r="D218" t="s">
        <v>19</v>
      </c>
      <c r="E218" s="2">
        <v>45541</v>
      </c>
      <c r="F218" s="2">
        <v>45553</v>
      </c>
      <c r="G218" t="s">
        <v>71</v>
      </c>
      <c r="H218" t="s">
        <v>296</v>
      </c>
      <c r="I218" s="3">
        <v>31197</v>
      </c>
      <c r="J218" s="4">
        <v>80</v>
      </c>
      <c r="K218" t="s">
        <v>21</v>
      </c>
      <c r="L218">
        <f t="shared" si="6"/>
        <v>12</v>
      </c>
      <c r="M218" t="str">
        <f t="shared" si="7"/>
        <v>50–64</v>
      </c>
    </row>
    <row r="219" spans="1:13">
      <c r="A219" t="s">
        <v>474</v>
      </c>
      <c r="B219" t="s">
        <v>475</v>
      </c>
      <c r="C219">
        <v>46</v>
      </c>
      <c r="D219" t="s">
        <v>13</v>
      </c>
      <c r="E219" s="2">
        <v>45658</v>
      </c>
      <c r="F219" s="2">
        <v>45668</v>
      </c>
      <c r="G219" t="s">
        <v>14</v>
      </c>
      <c r="H219" t="s">
        <v>20</v>
      </c>
      <c r="I219" s="3">
        <v>23891.3</v>
      </c>
      <c r="J219" s="4">
        <v>90</v>
      </c>
      <c r="K219" t="s">
        <v>16</v>
      </c>
      <c r="L219">
        <f t="shared" si="6"/>
        <v>10</v>
      </c>
      <c r="M219" t="str">
        <f t="shared" si="7"/>
        <v>35–49</v>
      </c>
    </row>
    <row r="220" spans="1:13">
      <c r="A220" t="s">
        <v>476</v>
      </c>
      <c r="B220" t="s">
        <v>477</v>
      </c>
      <c r="C220">
        <v>66</v>
      </c>
      <c r="D220" t="s">
        <v>13</v>
      </c>
      <c r="E220" s="2">
        <v>45978</v>
      </c>
      <c r="F220" s="2">
        <v>45988</v>
      </c>
      <c r="G220" t="s">
        <v>14</v>
      </c>
      <c r="H220" t="s">
        <v>112</v>
      </c>
      <c r="I220" s="3">
        <v>18293.13</v>
      </c>
      <c r="J220" s="4">
        <v>60</v>
      </c>
      <c r="K220" t="s">
        <v>26</v>
      </c>
      <c r="L220">
        <f t="shared" si="6"/>
        <v>10</v>
      </c>
      <c r="M220" t="str">
        <f t="shared" si="7"/>
        <v>65+</v>
      </c>
    </row>
    <row r="221" spans="1:13">
      <c r="A221" t="s">
        <v>478</v>
      </c>
      <c r="B221" t="s">
        <v>479</v>
      </c>
      <c r="C221">
        <v>28</v>
      </c>
      <c r="D221" t="s">
        <v>19</v>
      </c>
      <c r="E221" s="2">
        <v>45524</v>
      </c>
      <c r="F221" s="2">
        <v>45527</v>
      </c>
      <c r="G221" t="s">
        <v>24</v>
      </c>
      <c r="H221" t="s">
        <v>205</v>
      </c>
      <c r="I221" s="3">
        <v>7364.68</v>
      </c>
      <c r="J221" s="4">
        <v>70</v>
      </c>
      <c r="K221" t="s">
        <v>21</v>
      </c>
      <c r="L221">
        <f t="shared" si="6"/>
        <v>3</v>
      </c>
      <c r="M221" t="str">
        <f t="shared" si="7"/>
        <v>18–34</v>
      </c>
    </row>
    <row r="222" spans="1:13">
      <c r="A222" t="s">
        <v>480</v>
      </c>
      <c r="B222" t="s">
        <v>481</v>
      </c>
      <c r="C222">
        <v>3</v>
      </c>
      <c r="D222" t="s">
        <v>19</v>
      </c>
      <c r="E222" s="2">
        <v>45469</v>
      </c>
      <c r="F222" s="2">
        <v>45471</v>
      </c>
      <c r="G222" t="s">
        <v>50</v>
      </c>
      <c r="H222" t="s">
        <v>51</v>
      </c>
      <c r="I222" s="3">
        <v>2403.02</v>
      </c>
      <c r="J222" s="4">
        <v>80</v>
      </c>
      <c r="K222" t="s">
        <v>16</v>
      </c>
      <c r="L222">
        <f t="shared" si="6"/>
        <v>2</v>
      </c>
      <c r="M222" t="str">
        <f t="shared" si="7"/>
        <v>0–17</v>
      </c>
    </row>
    <row r="223" spans="1:13">
      <c r="A223" t="s">
        <v>482</v>
      </c>
      <c r="B223" t="s">
        <v>483</v>
      </c>
      <c r="C223">
        <v>68</v>
      </c>
      <c r="D223" t="s">
        <v>13</v>
      </c>
      <c r="E223" s="2">
        <v>45990</v>
      </c>
      <c r="F223" s="2">
        <v>46000</v>
      </c>
      <c r="G223" t="s">
        <v>71</v>
      </c>
      <c r="H223" t="s">
        <v>95</v>
      </c>
      <c r="I223" s="3">
        <v>22054.65</v>
      </c>
      <c r="J223" s="4">
        <v>80</v>
      </c>
      <c r="K223" t="s">
        <v>21</v>
      </c>
      <c r="L223">
        <f t="shared" si="6"/>
        <v>10</v>
      </c>
      <c r="M223" t="str">
        <f t="shared" si="7"/>
        <v>65+</v>
      </c>
    </row>
    <row r="224" spans="1:13">
      <c r="A224" t="s">
        <v>484</v>
      </c>
      <c r="B224" t="s">
        <v>485</v>
      </c>
      <c r="C224">
        <v>40</v>
      </c>
      <c r="D224" t="s">
        <v>13</v>
      </c>
      <c r="E224" s="2">
        <v>46013</v>
      </c>
      <c r="F224" s="2">
        <v>46018</v>
      </c>
      <c r="G224" t="s">
        <v>32</v>
      </c>
      <c r="H224" t="s">
        <v>45</v>
      </c>
      <c r="I224" s="3">
        <v>6331.28</v>
      </c>
      <c r="J224" s="4">
        <v>80</v>
      </c>
      <c r="K224" t="s">
        <v>26</v>
      </c>
      <c r="L224">
        <f t="shared" si="6"/>
        <v>5</v>
      </c>
      <c r="M224" t="str">
        <f t="shared" si="7"/>
        <v>35–49</v>
      </c>
    </row>
    <row r="225" spans="1:13">
      <c r="A225" t="s">
        <v>486</v>
      </c>
      <c r="B225" t="s">
        <v>487</v>
      </c>
      <c r="C225">
        <v>63</v>
      </c>
      <c r="D225" t="s">
        <v>13</v>
      </c>
      <c r="E225" s="2">
        <v>45574</v>
      </c>
      <c r="F225" s="2">
        <v>45584</v>
      </c>
      <c r="G225" t="s">
        <v>14</v>
      </c>
      <c r="H225" t="s">
        <v>166</v>
      </c>
      <c r="I225" s="3">
        <v>27345.03</v>
      </c>
      <c r="J225" s="4">
        <v>100</v>
      </c>
      <c r="K225" t="s">
        <v>21</v>
      </c>
      <c r="L225">
        <f t="shared" si="6"/>
        <v>10</v>
      </c>
      <c r="M225" t="str">
        <f t="shared" si="7"/>
        <v>50–64</v>
      </c>
    </row>
    <row r="226" spans="1:13">
      <c r="A226" t="s">
        <v>488</v>
      </c>
      <c r="B226" t="s">
        <v>489</v>
      </c>
      <c r="C226">
        <v>44</v>
      </c>
      <c r="D226" t="s">
        <v>19</v>
      </c>
      <c r="E226" s="2">
        <v>45414</v>
      </c>
      <c r="F226" s="2">
        <v>45422</v>
      </c>
      <c r="G226" t="s">
        <v>61</v>
      </c>
      <c r="H226" t="s">
        <v>62</v>
      </c>
      <c r="I226" s="3">
        <v>11435.94</v>
      </c>
      <c r="J226" s="4">
        <v>90</v>
      </c>
      <c r="K226" t="s">
        <v>16</v>
      </c>
      <c r="L226">
        <f t="shared" si="6"/>
        <v>8</v>
      </c>
      <c r="M226" t="str">
        <f t="shared" si="7"/>
        <v>35–49</v>
      </c>
    </row>
    <row r="227" spans="1:13">
      <c r="A227" t="s">
        <v>490</v>
      </c>
      <c r="B227" t="s">
        <v>491</v>
      </c>
      <c r="C227">
        <v>70</v>
      </c>
      <c r="D227" t="s">
        <v>13</v>
      </c>
      <c r="E227" s="2">
        <v>45553</v>
      </c>
      <c r="F227" s="2">
        <v>45554</v>
      </c>
      <c r="G227" t="s">
        <v>24</v>
      </c>
      <c r="H227" t="s">
        <v>334</v>
      </c>
      <c r="I227" s="3">
        <v>859.95</v>
      </c>
      <c r="J227" s="4">
        <v>60</v>
      </c>
      <c r="K227" t="s">
        <v>21</v>
      </c>
      <c r="L227">
        <f t="shared" si="6"/>
        <v>1</v>
      </c>
      <c r="M227" t="str">
        <f t="shared" si="7"/>
        <v>65+</v>
      </c>
    </row>
    <row r="228" spans="1:13">
      <c r="A228" t="s">
        <v>492</v>
      </c>
      <c r="B228" t="s">
        <v>493</v>
      </c>
      <c r="C228">
        <v>1</v>
      </c>
      <c r="D228" t="s">
        <v>13</v>
      </c>
      <c r="E228" s="2">
        <v>45400</v>
      </c>
      <c r="F228" s="2">
        <v>45403</v>
      </c>
      <c r="G228" t="s">
        <v>50</v>
      </c>
      <c r="H228" t="s">
        <v>121</v>
      </c>
      <c r="I228" s="3">
        <v>2590.21</v>
      </c>
      <c r="J228" s="4">
        <v>90</v>
      </c>
      <c r="K228" t="s">
        <v>21</v>
      </c>
      <c r="L228">
        <f t="shared" si="6"/>
        <v>3</v>
      </c>
      <c r="M228" t="str">
        <f t="shared" si="7"/>
        <v>0–17</v>
      </c>
    </row>
    <row r="229" spans="1:13">
      <c r="A229" t="s">
        <v>494</v>
      </c>
      <c r="B229" t="s">
        <v>18</v>
      </c>
      <c r="C229">
        <v>48</v>
      </c>
      <c r="D229" t="s">
        <v>19</v>
      </c>
      <c r="E229" s="2">
        <v>45864</v>
      </c>
      <c r="F229" s="2">
        <v>45865</v>
      </c>
      <c r="G229" t="s">
        <v>32</v>
      </c>
      <c r="H229" t="s">
        <v>45</v>
      </c>
      <c r="I229" s="3">
        <v>791.92</v>
      </c>
      <c r="J229" s="4">
        <v>50</v>
      </c>
      <c r="K229" t="s">
        <v>26</v>
      </c>
      <c r="L229">
        <f t="shared" si="6"/>
        <v>1</v>
      </c>
      <c r="M229" t="str">
        <f t="shared" si="7"/>
        <v>35–49</v>
      </c>
    </row>
    <row r="230" spans="1:13">
      <c r="A230" t="s">
        <v>495</v>
      </c>
      <c r="B230" t="s">
        <v>182</v>
      </c>
      <c r="C230">
        <v>48</v>
      </c>
      <c r="D230" t="s">
        <v>19</v>
      </c>
      <c r="E230" s="2">
        <v>45514</v>
      </c>
      <c r="F230" s="2">
        <v>45517</v>
      </c>
      <c r="G230" t="s">
        <v>24</v>
      </c>
      <c r="H230" t="s">
        <v>222</v>
      </c>
      <c r="I230" s="3">
        <v>3524.43</v>
      </c>
      <c r="J230" s="4">
        <v>80</v>
      </c>
      <c r="K230" t="s">
        <v>16</v>
      </c>
      <c r="L230">
        <f t="shared" si="6"/>
        <v>3</v>
      </c>
      <c r="M230" t="str">
        <f t="shared" si="7"/>
        <v>35–49</v>
      </c>
    </row>
    <row r="231" spans="1:13">
      <c r="A231" t="s">
        <v>496</v>
      </c>
      <c r="B231" t="s">
        <v>497</v>
      </c>
      <c r="C231">
        <v>43</v>
      </c>
      <c r="D231" t="s">
        <v>13</v>
      </c>
      <c r="E231" s="2">
        <v>45455</v>
      </c>
      <c r="F231" s="2">
        <v>45457</v>
      </c>
      <c r="G231" t="s">
        <v>61</v>
      </c>
      <c r="H231" t="s">
        <v>98</v>
      </c>
      <c r="I231" s="3">
        <v>4464.59</v>
      </c>
      <c r="J231" s="4">
        <v>0</v>
      </c>
      <c r="K231" t="s">
        <v>26</v>
      </c>
      <c r="L231">
        <f t="shared" si="6"/>
        <v>2</v>
      </c>
      <c r="M231" t="str">
        <f t="shared" si="7"/>
        <v>35–49</v>
      </c>
    </row>
    <row r="232" spans="1:13">
      <c r="A232" t="s">
        <v>498</v>
      </c>
      <c r="B232" t="s">
        <v>499</v>
      </c>
      <c r="C232">
        <v>24</v>
      </c>
      <c r="D232" t="s">
        <v>19</v>
      </c>
      <c r="E232" s="2">
        <v>45370</v>
      </c>
      <c r="F232" s="2">
        <v>45373</v>
      </c>
      <c r="G232" t="s">
        <v>24</v>
      </c>
      <c r="H232" t="s">
        <v>334</v>
      </c>
      <c r="I232" s="3">
        <v>4867.6099999999997</v>
      </c>
      <c r="J232" s="4">
        <v>70</v>
      </c>
      <c r="K232" t="s">
        <v>16</v>
      </c>
      <c r="L232">
        <f t="shared" si="6"/>
        <v>3</v>
      </c>
      <c r="M232" t="str">
        <f t="shared" si="7"/>
        <v>18–34</v>
      </c>
    </row>
    <row r="233" spans="1:13">
      <c r="A233" t="s">
        <v>500</v>
      </c>
      <c r="B233" t="s">
        <v>501</v>
      </c>
      <c r="C233">
        <v>41</v>
      </c>
      <c r="D233" t="s">
        <v>13</v>
      </c>
      <c r="E233" s="2">
        <v>45605</v>
      </c>
      <c r="F233" s="2">
        <v>45609</v>
      </c>
      <c r="G233" t="s">
        <v>14</v>
      </c>
      <c r="H233" t="s">
        <v>166</v>
      </c>
      <c r="I233" s="3">
        <v>5584.74</v>
      </c>
      <c r="J233" s="4">
        <v>100</v>
      </c>
      <c r="K233" t="s">
        <v>16</v>
      </c>
      <c r="L233">
        <f t="shared" si="6"/>
        <v>4</v>
      </c>
      <c r="M233" t="str">
        <f t="shared" si="7"/>
        <v>35–49</v>
      </c>
    </row>
    <row r="234" spans="1:13">
      <c r="A234" t="s">
        <v>502</v>
      </c>
      <c r="B234" t="s">
        <v>503</v>
      </c>
      <c r="C234">
        <v>51</v>
      </c>
      <c r="D234" t="s">
        <v>19</v>
      </c>
      <c r="E234" s="2">
        <v>45782</v>
      </c>
      <c r="F234" s="2">
        <v>45784</v>
      </c>
      <c r="G234" t="s">
        <v>24</v>
      </c>
      <c r="H234" t="s">
        <v>25</v>
      </c>
      <c r="I234" s="3">
        <v>4718.74</v>
      </c>
      <c r="J234" s="4">
        <v>80</v>
      </c>
      <c r="K234" t="s">
        <v>21</v>
      </c>
      <c r="L234">
        <f t="shared" si="6"/>
        <v>2</v>
      </c>
      <c r="M234" t="str">
        <f t="shared" si="7"/>
        <v>50–64</v>
      </c>
    </row>
    <row r="235" spans="1:13">
      <c r="A235" t="s">
        <v>504</v>
      </c>
      <c r="B235" t="s">
        <v>505</v>
      </c>
      <c r="C235">
        <v>10</v>
      </c>
      <c r="D235" t="s">
        <v>13</v>
      </c>
      <c r="E235" s="2">
        <v>45702</v>
      </c>
      <c r="F235" s="2">
        <v>45703</v>
      </c>
      <c r="G235" t="s">
        <v>50</v>
      </c>
      <c r="H235" t="s">
        <v>379</v>
      </c>
      <c r="I235" s="3">
        <v>1605.56</v>
      </c>
      <c r="J235" s="4">
        <v>80</v>
      </c>
      <c r="K235" t="s">
        <v>21</v>
      </c>
      <c r="L235">
        <f t="shared" si="6"/>
        <v>1</v>
      </c>
      <c r="M235" t="str">
        <f t="shared" si="7"/>
        <v>0–17</v>
      </c>
    </row>
    <row r="236" spans="1:13">
      <c r="A236" t="s">
        <v>506</v>
      </c>
      <c r="B236" t="s">
        <v>507</v>
      </c>
      <c r="C236">
        <v>75</v>
      </c>
      <c r="D236" t="s">
        <v>13</v>
      </c>
      <c r="E236" s="2">
        <v>45716</v>
      </c>
      <c r="F236" s="2">
        <v>45717</v>
      </c>
      <c r="G236" t="s">
        <v>32</v>
      </c>
      <c r="H236" t="s">
        <v>36</v>
      </c>
      <c r="I236" s="3">
        <v>1383.31</v>
      </c>
      <c r="J236" s="4">
        <v>90</v>
      </c>
      <c r="K236" t="s">
        <v>16</v>
      </c>
      <c r="L236">
        <f t="shared" si="6"/>
        <v>1</v>
      </c>
      <c r="M236" t="str">
        <f t="shared" si="7"/>
        <v>65+</v>
      </c>
    </row>
    <row r="237" spans="1:13">
      <c r="A237" t="s">
        <v>508</v>
      </c>
      <c r="B237" t="s">
        <v>509</v>
      </c>
      <c r="C237">
        <v>50</v>
      </c>
      <c r="D237" t="s">
        <v>19</v>
      </c>
      <c r="E237" s="2">
        <v>45747</v>
      </c>
      <c r="F237" s="2">
        <v>45755</v>
      </c>
      <c r="G237" t="s">
        <v>14</v>
      </c>
      <c r="H237" t="s">
        <v>112</v>
      </c>
      <c r="I237" s="3">
        <v>19135.11</v>
      </c>
      <c r="J237" s="4">
        <v>80</v>
      </c>
      <c r="K237" t="s">
        <v>16</v>
      </c>
      <c r="L237">
        <f t="shared" si="6"/>
        <v>8</v>
      </c>
      <c r="M237" t="str">
        <f t="shared" si="7"/>
        <v>50–64</v>
      </c>
    </row>
    <row r="238" spans="1:13">
      <c r="A238" t="s">
        <v>510</v>
      </c>
      <c r="B238" t="s">
        <v>511</v>
      </c>
      <c r="C238">
        <v>46</v>
      </c>
      <c r="D238" t="s">
        <v>19</v>
      </c>
      <c r="E238" s="2">
        <v>45578</v>
      </c>
      <c r="F238" s="2">
        <v>45582</v>
      </c>
      <c r="G238" t="s">
        <v>61</v>
      </c>
      <c r="H238" t="s">
        <v>78</v>
      </c>
      <c r="I238" s="3">
        <v>9234.25</v>
      </c>
      <c r="J238" s="4">
        <v>70</v>
      </c>
      <c r="K238" t="s">
        <v>21</v>
      </c>
      <c r="L238">
        <f t="shared" si="6"/>
        <v>4</v>
      </c>
      <c r="M238" t="str">
        <f t="shared" si="7"/>
        <v>35–49</v>
      </c>
    </row>
    <row r="239" spans="1:13">
      <c r="A239" t="s">
        <v>512</v>
      </c>
      <c r="B239" t="s">
        <v>513</v>
      </c>
      <c r="C239">
        <v>83</v>
      </c>
      <c r="D239" t="s">
        <v>13</v>
      </c>
      <c r="E239" s="2">
        <v>45467</v>
      </c>
      <c r="F239" s="2">
        <v>45472</v>
      </c>
      <c r="G239" t="s">
        <v>14</v>
      </c>
      <c r="H239" t="s">
        <v>112</v>
      </c>
      <c r="I239" s="3">
        <v>7388.36</v>
      </c>
      <c r="J239" s="4">
        <v>90</v>
      </c>
      <c r="K239" t="s">
        <v>16</v>
      </c>
      <c r="L239">
        <f t="shared" si="6"/>
        <v>5</v>
      </c>
      <c r="M239" t="str">
        <f t="shared" si="7"/>
        <v>65+</v>
      </c>
    </row>
    <row r="240" spans="1:13">
      <c r="A240" t="s">
        <v>514</v>
      </c>
      <c r="B240" t="s">
        <v>515</v>
      </c>
      <c r="C240">
        <v>17</v>
      </c>
      <c r="D240" t="s">
        <v>19</v>
      </c>
      <c r="E240" s="2">
        <v>45465</v>
      </c>
      <c r="F240" s="2">
        <v>45468</v>
      </c>
      <c r="G240" t="s">
        <v>50</v>
      </c>
      <c r="H240" t="s">
        <v>124</v>
      </c>
      <c r="I240" s="3">
        <v>2080.9499999999998</v>
      </c>
      <c r="J240" s="4">
        <v>100</v>
      </c>
      <c r="K240" t="s">
        <v>26</v>
      </c>
      <c r="L240">
        <f t="shared" si="6"/>
        <v>3</v>
      </c>
      <c r="M240" t="str">
        <f t="shared" si="7"/>
        <v>0–17</v>
      </c>
    </row>
    <row r="241" spans="1:13">
      <c r="A241" t="s">
        <v>516</v>
      </c>
      <c r="B241" t="s">
        <v>517</v>
      </c>
      <c r="C241">
        <v>70</v>
      </c>
      <c r="D241" t="s">
        <v>13</v>
      </c>
      <c r="E241" s="2">
        <v>45301</v>
      </c>
      <c r="F241" s="2">
        <v>45303</v>
      </c>
      <c r="G241" t="s">
        <v>61</v>
      </c>
      <c r="H241" t="s">
        <v>134</v>
      </c>
      <c r="I241" s="3">
        <v>5457.97</v>
      </c>
      <c r="J241" s="4">
        <v>80</v>
      </c>
      <c r="K241" t="s">
        <v>16</v>
      </c>
      <c r="L241">
        <f t="shared" si="6"/>
        <v>2</v>
      </c>
      <c r="M241" t="str">
        <f t="shared" si="7"/>
        <v>65+</v>
      </c>
    </row>
    <row r="242" spans="1:13">
      <c r="A242" t="s">
        <v>518</v>
      </c>
      <c r="B242" t="s">
        <v>28</v>
      </c>
      <c r="C242">
        <v>42</v>
      </c>
      <c r="D242" t="s">
        <v>19</v>
      </c>
      <c r="E242" s="2">
        <v>45522</v>
      </c>
      <c r="F242" s="2">
        <v>45534</v>
      </c>
      <c r="G242" t="s">
        <v>61</v>
      </c>
      <c r="H242" t="s">
        <v>75</v>
      </c>
      <c r="I242" s="3">
        <v>15047.59</v>
      </c>
      <c r="J242" s="4">
        <v>80</v>
      </c>
      <c r="K242" t="s">
        <v>16</v>
      </c>
      <c r="L242">
        <f t="shared" si="6"/>
        <v>12</v>
      </c>
      <c r="M242" t="str">
        <f t="shared" si="7"/>
        <v>35–49</v>
      </c>
    </row>
    <row r="243" spans="1:13">
      <c r="A243" t="s">
        <v>519</v>
      </c>
      <c r="B243" t="s">
        <v>520</v>
      </c>
      <c r="C243">
        <v>16</v>
      </c>
      <c r="D243" t="s">
        <v>19</v>
      </c>
      <c r="E243" s="2">
        <v>45630</v>
      </c>
      <c r="F243" s="2">
        <v>45632</v>
      </c>
      <c r="G243" t="s">
        <v>50</v>
      </c>
      <c r="H243" t="s">
        <v>379</v>
      </c>
      <c r="I243" s="3">
        <v>2737.97</v>
      </c>
      <c r="J243" s="4">
        <v>90</v>
      </c>
      <c r="K243" t="s">
        <v>16</v>
      </c>
      <c r="L243">
        <f t="shared" si="6"/>
        <v>2</v>
      </c>
      <c r="M243" t="str">
        <f t="shared" si="7"/>
        <v>0–17</v>
      </c>
    </row>
    <row r="244" spans="1:13">
      <c r="A244" t="s">
        <v>521</v>
      </c>
      <c r="B244" t="s">
        <v>483</v>
      </c>
      <c r="C244">
        <v>58</v>
      </c>
      <c r="D244" t="s">
        <v>13</v>
      </c>
      <c r="E244" s="2">
        <v>45650</v>
      </c>
      <c r="F244" s="2">
        <v>45664</v>
      </c>
      <c r="G244" t="s">
        <v>61</v>
      </c>
      <c r="H244" t="s">
        <v>75</v>
      </c>
      <c r="I244" s="3">
        <v>19026.97</v>
      </c>
      <c r="J244" s="4">
        <v>80</v>
      </c>
      <c r="K244" t="s">
        <v>21</v>
      </c>
      <c r="L244">
        <f t="shared" si="6"/>
        <v>14</v>
      </c>
      <c r="M244" t="str">
        <f t="shared" si="7"/>
        <v>50–64</v>
      </c>
    </row>
    <row r="245" spans="1:13">
      <c r="A245" t="s">
        <v>522</v>
      </c>
      <c r="B245" t="s">
        <v>197</v>
      </c>
      <c r="C245">
        <v>35</v>
      </c>
      <c r="D245" t="s">
        <v>13</v>
      </c>
      <c r="E245" s="2">
        <v>45323</v>
      </c>
      <c r="F245" s="2">
        <v>45326</v>
      </c>
      <c r="G245" t="s">
        <v>24</v>
      </c>
      <c r="H245" t="s">
        <v>205</v>
      </c>
      <c r="I245" s="3">
        <v>4955.5</v>
      </c>
      <c r="J245" s="4">
        <v>90</v>
      </c>
      <c r="K245" t="s">
        <v>21</v>
      </c>
      <c r="L245">
        <f t="shared" si="6"/>
        <v>3</v>
      </c>
      <c r="M245" t="str">
        <f t="shared" si="7"/>
        <v>35–49</v>
      </c>
    </row>
    <row r="246" spans="1:13">
      <c r="A246" t="s">
        <v>523</v>
      </c>
      <c r="B246" t="s">
        <v>524</v>
      </c>
      <c r="C246">
        <v>58</v>
      </c>
      <c r="D246" t="s">
        <v>19</v>
      </c>
      <c r="E246" s="2">
        <v>45757</v>
      </c>
      <c r="F246" s="2">
        <v>45759</v>
      </c>
      <c r="G246" t="s">
        <v>24</v>
      </c>
      <c r="H246" t="s">
        <v>334</v>
      </c>
      <c r="I246" s="3">
        <v>4048.56</v>
      </c>
      <c r="J246" s="4">
        <v>80</v>
      </c>
      <c r="K246" t="s">
        <v>21</v>
      </c>
      <c r="L246">
        <f t="shared" si="6"/>
        <v>2</v>
      </c>
      <c r="M246" t="str">
        <f t="shared" si="7"/>
        <v>50–64</v>
      </c>
    </row>
    <row r="247" spans="1:13">
      <c r="A247" t="s">
        <v>525</v>
      </c>
      <c r="B247" t="s">
        <v>526</v>
      </c>
      <c r="C247">
        <v>47</v>
      </c>
      <c r="D247" t="s">
        <v>13</v>
      </c>
      <c r="E247" s="2">
        <v>45995</v>
      </c>
      <c r="F247" s="2">
        <v>46001</v>
      </c>
      <c r="G247" t="s">
        <v>32</v>
      </c>
      <c r="H247" t="s">
        <v>235</v>
      </c>
      <c r="I247" s="3">
        <v>6918.6</v>
      </c>
      <c r="J247" s="4">
        <v>80</v>
      </c>
      <c r="K247" t="s">
        <v>16</v>
      </c>
      <c r="L247">
        <f t="shared" si="6"/>
        <v>6</v>
      </c>
      <c r="M247" t="str">
        <f t="shared" si="7"/>
        <v>35–49</v>
      </c>
    </row>
    <row r="248" spans="1:13">
      <c r="A248" t="s">
        <v>527</v>
      </c>
      <c r="B248" t="s">
        <v>528</v>
      </c>
      <c r="C248">
        <v>8</v>
      </c>
      <c r="D248" t="s">
        <v>19</v>
      </c>
      <c r="E248" s="2">
        <v>45650</v>
      </c>
      <c r="F248" s="2">
        <v>45653</v>
      </c>
      <c r="G248" t="s">
        <v>50</v>
      </c>
      <c r="H248" t="s">
        <v>121</v>
      </c>
      <c r="I248" s="3">
        <v>3846.88</v>
      </c>
      <c r="J248" s="4">
        <v>80</v>
      </c>
      <c r="K248" t="s">
        <v>16</v>
      </c>
      <c r="L248">
        <f t="shared" si="6"/>
        <v>3</v>
      </c>
      <c r="M248" t="str">
        <f t="shared" si="7"/>
        <v>0–17</v>
      </c>
    </row>
    <row r="249" spans="1:13">
      <c r="A249" t="s">
        <v>529</v>
      </c>
      <c r="B249" t="s">
        <v>530</v>
      </c>
      <c r="C249">
        <v>65</v>
      </c>
      <c r="D249" t="s">
        <v>19</v>
      </c>
      <c r="E249" s="2">
        <v>45776</v>
      </c>
      <c r="F249" s="2">
        <v>45780</v>
      </c>
      <c r="G249" t="s">
        <v>32</v>
      </c>
      <c r="H249" t="s">
        <v>115</v>
      </c>
      <c r="I249" s="3">
        <v>3019.93</v>
      </c>
      <c r="J249" s="4">
        <v>70</v>
      </c>
      <c r="K249" t="s">
        <v>26</v>
      </c>
      <c r="L249">
        <f t="shared" si="6"/>
        <v>4</v>
      </c>
      <c r="M249" t="str">
        <f t="shared" si="7"/>
        <v>65+</v>
      </c>
    </row>
    <row r="250" spans="1:13">
      <c r="A250" t="s">
        <v>531</v>
      </c>
      <c r="B250" t="s">
        <v>532</v>
      </c>
      <c r="C250">
        <v>4</v>
      </c>
      <c r="D250" t="s">
        <v>13</v>
      </c>
      <c r="E250" s="2">
        <v>45624</v>
      </c>
      <c r="F250" s="2">
        <v>45628</v>
      </c>
      <c r="G250" t="s">
        <v>50</v>
      </c>
      <c r="H250" t="s">
        <v>131</v>
      </c>
      <c r="I250" s="3">
        <v>3543.7</v>
      </c>
      <c r="J250" s="4">
        <v>90</v>
      </c>
      <c r="K250" t="s">
        <v>21</v>
      </c>
      <c r="L250">
        <f t="shared" si="6"/>
        <v>4</v>
      </c>
      <c r="M250" t="str">
        <f t="shared" si="7"/>
        <v>0–17</v>
      </c>
    </row>
    <row r="251" spans="1:13">
      <c r="A251" t="s">
        <v>533</v>
      </c>
      <c r="B251" t="s">
        <v>313</v>
      </c>
      <c r="C251">
        <v>55</v>
      </c>
      <c r="D251" t="s">
        <v>13</v>
      </c>
      <c r="E251" s="2">
        <v>45852</v>
      </c>
      <c r="F251" s="2">
        <v>45854</v>
      </c>
      <c r="G251" t="s">
        <v>61</v>
      </c>
      <c r="H251" t="s">
        <v>143</v>
      </c>
      <c r="I251" s="3">
        <v>2354.4899999999998</v>
      </c>
      <c r="J251" s="4">
        <v>60</v>
      </c>
      <c r="K251" t="s">
        <v>26</v>
      </c>
      <c r="L251">
        <f t="shared" si="6"/>
        <v>2</v>
      </c>
      <c r="M251" t="str">
        <f t="shared" si="7"/>
        <v>50–64</v>
      </c>
    </row>
    <row r="252" spans="1:13">
      <c r="A252" t="s">
        <v>534</v>
      </c>
      <c r="B252" t="s">
        <v>515</v>
      </c>
      <c r="C252">
        <v>47</v>
      </c>
      <c r="D252" t="s">
        <v>19</v>
      </c>
      <c r="E252" s="2">
        <v>45916</v>
      </c>
      <c r="F252" s="2">
        <v>45919</v>
      </c>
      <c r="G252" t="s">
        <v>24</v>
      </c>
      <c r="H252" t="s">
        <v>25</v>
      </c>
      <c r="I252" s="3">
        <v>4854.92</v>
      </c>
      <c r="J252" s="4">
        <v>70</v>
      </c>
      <c r="K252" t="s">
        <v>26</v>
      </c>
      <c r="L252">
        <f t="shared" si="6"/>
        <v>3</v>
      </c>
      <c r="M252" t="str">
        <f t="shared" si="7"/>
        <v>35–49</v>
      </c>
    </row>
    <row r="253" spans="1:13">
      <c r="A253" t="s">
        <v>535</v>
      </c>
      <c r="B253" t="s">
        <v>273</v>
      </c>
      <c r="C253">
        <v>7</v>
      </c>
      <c r="D253" t="s">
        <v>19</v>
      </c>
      <c r="E253" s="2">
        <v>45478</v>
      </c>
      <c r="F253" s="2">
        <v>45480</v>
      </c>
      <c r="G253" t="s">
        <v>50</v>
      </c>
      <c r="H253" t="s">
        <v>379</v>
      </c>
      <c r="I253" s="3">
        <v>2341.4499999999998</v>
      </c>
      <c r="J253" s="4">
        <v>90</v>
      </c>
      <c r="K253" t="s">
        <v>21</v>
      </c>
      <c r="L253">
        <f t="shared" si="6"/>
        <v>2</v>
      </c>
      <c r="M253" t="str">
        <f t="shared" si="7"/>
        <v>0–17</v>
      </c>
    </row>
    <row r="254" spans="1:13">
      <c r="A254" t="s">
        <v>536</v>
      </c>
      <c r="B254" t="s">
        <v>537</v>
      </c>
      <c r="C254">
        <v>8</v>
      </c>
      <c r="D254" t="s">
        <v>13</v>
      </c>
      <c r="E254" s="2">
        <v>45601</v>
      </c>
      <c r="F254" s="2">
        <v>45606</v>
      </c>
      <c r="G254" t="s">
        <v>50</v>
      </c>
      <c r="H254" t="s">
        <v>124</v>
      </c>
      <c r="I254" s="3">
        <v>6634.75</v>
      </c>
      <c r="J254" s="4">
        <v>100</v>
      </c>
      <c r="K254" t="s">
        <v>21</v>
      </c>
      <c r="L254">
        <f t="shared" si="6"/>
        <v>5</v>
      </c>
      <c r="M254" t="str">
        <f t="shared" si="7"/>
        <v>0–17</v>
      </c>
    </row>
    <row r="255" spans="1:13">
      <c r="A255" t="s">
        <v>538</v>
      </c>
      <c r="B255" t="s">
        <v>539</v>
      </c>
      <c r="C255">
        <v>11</v>
      </c>
      <c r="D255" t="s">
        <v>19</v>
      </c>
      <c r="E255" s="2">
        <v>45770</v>
      </c>
      <c r="F255" s="2">
        <v>45773</v>
      </c>
      <c r="G255" t="s">
        <v>50</v>
      </c>
      <c r="H255" t="s">
        <v>121</v>
      </c>
      <c r="I255" s="3">
        <v>2307.54</v>
      </c>
      <c r="J255" s="4">
        <v>70</v>
      </c>
      <c r="K255" t="s">
        <v>21</v>
      </c>
      <c r="L255">
        <f t="shared" si="6"/>
        <v>3</v>
      </c>
      <c r="M255" t="str">
        <f t="shared" si="7"/>
        <v>0–17</v>
      </c>
    </row>
    <row r="256" spans="1:13">
      <c r="A256" t="s">
        <v>540</v>
      </c>
      <c r="B256" t="s">
        <v>541</v>
      </c>
      <c r="C256">
        <v>29</v>
      </c>
      <c r="D256" t="s">
        <v>13</v>
      </c>
      <c r="E256" s="2">
        <v>45963</v>
      </c>
      <c r="F256" s="2">
        <v>45968</v>
      </c>
      <c r="G256" t="s">
        <v>32</v>
      </c>
      <c r="H256" t="s">
        <v>54</v>
      </c>
      <c r="I256" s="3">
        <v>6481.41</v>
      </c>
      <c r="J256" s="4">
        <v>60</v>
      </c>
      <c r="K256" t="s">
        <v>26</v>
      </c>
      <c r="L256">
        <f t="shared" si="6"/>
        <v>5</v>
      </c>
      <c r="M256" t="str">
        <f t="shared" si="7"/>
        <v>18–34</v>
      </c>
    </row>
    <row r="257" spans="1:13">
      <c r="A257" t="s">
        <v>542</v>
      </c>
      <c r="B257" t="s">
        <v>543</v>
      </c>
      <c r="C257">
        <v>43</v>
      </c>
      <c r="D257" t="s">
        <v>13</v>
      </c>
      <c r="E257" s="2">
        <v>45296</v>
      </c>
      <c r="F257" s="2">
        <v>45305</v>
      </c>
      <c r="G257" t="s">
        <v>14</v>
      </c>
      <c r="H257" t="s">
        <v>39</v>
      </c>
      <c r="I257" s="3">
        <v>14839.54</v>
      </c>
      <c r="J257" s="4">
        <v>70</v>
      </c>
      <c r="K257" t="s">
        <v>26</v>
      </c>
      <c r="L257">
        <f t="shared" si="6"/>
        <v>9</v>
      </c>
      <c r="M257" t="str">
        <f t="shared" si="7"/>
        <v>35–49</v>
      </c>
    </row>
    <row r="258" spans="1:13">
      <c r="A258" t="s">
        <v>544</v>
      </c>
      <c r="B258" t="s">
        <v>545</v>
      </c>
      <c r="C258">
        <v>31</v>
      </c>
      <c r="D258" t="s">
        <v>19</v>
      </c>
      <c r="E258" s="2">
        <v>45982</v>
      </c>
      <c r="F258" s="2">
        <v>45987</v>
      </c>
      <c r="G258" t="s">
        <v>71</v>
      </c>
      <c r="H258" t="s">
        <v>95</v>
      </c>
      <c r="I258" s="3">
        <v>8724.32</v>
      </c>
      <c r="J258" s="4">
        <v>80</v>
      </c>
      <c r="K258" t="s">
        <v>21</v>
      </c>
      <c r="L258">
        <f t="shared" si="6"/>
        <v>5</v>
      </c>
      <c r="M258" t="str">
        <f t="shared" si="7"/>
        <v>18–34</v>
      </c>
    </row>
    <row r="259" spans="1:13">
      <c r="A259" t="s">
        <v>546</v>
      </c>
      <c r="B259" t="s">
        <v>547</v>
      </c>
      <c r="C259">
        <v>74</v>
      </c>
      <c r="D259" t="s">
        <v>19</v>
      </c>
      <c r="E259" s="2">
        <v>45764</v>
      </c>
      <c r="F259" s="2">
        <v>45770</v>
      </c>
      <c r="G259" t="s">
        <v>32</v>
      </c>
      <c r="H259" t="s">
        <v>33</v>
      </c>
      <c r="I259" s="3">
        <v>8724.0499999999993</v>
      </c>
      <c r="J259" s="4">
        <v>50</v>
      </c>
      <c r="K259" t="s">
        <v>21</v>
      </c>
      <c r="L259">
        <f t="shared" ref="L259:L322" si="8">F259-E259</f>
        <v>6</v>
      </c>
      <c r="M259" t="str">
        <f t="shared" ref="M259:M322" si="9">IF(C259&lt;=17,"0–17",IF(C259&lt;=34,"18–34",IF(C259&lt;=49,"35–49",IF(C259&lt;=64,"50–64","65+"))))</f>
        <v>65+</v>
      </c>
    </row>
    <row r="260" spans="1:13">
      <c r="A260" t="s">
        <v>548</v>
      </c>
      <c r="B260" t="s">
        <v>549</v>
      </c>
      <c r="C260">
        <v>60</v>
      </c>
      <c r="D260" t="s">
        <v>19</v>
      </c>
      <c r="E260" s="2">
        <v>45711</v>
      </c>
      <c r="F260" s="2">
        <v>45718</v>
      </c>
      <c r="G260" t="s">
        <v>14</v>
      </c>
      <c r="H260" t="s">
        <v>166</v>
      </c>
      <c r="I260" s="3">
        <v>12277.2</v>
      </c>
      <c r="J260" s="4">
        <v>100</v>
      </c>
      <c r="K260" t="s">
        <v>16</v>
      </c>
      <c r="L260">
        <f t="shared" si="8"/>
        <v>7</v>
      </c>
      <c r="M260" t="str">
        <f t="shared" si="9"/>
        <v>50–64</v>
      </c>
    </row>
    <row r="261" spans="1:13">
      <c r="A261" t="s">
        <v>550</v>
      </c>
      <c r="B261" t="s">
        <v>551</v>
      </c>
      <c r="C261">
        <v>82</v>
      </c>
      <c r="D261" t="s">
        <v>19</v>
      </c>
      <c r="E261" s="2">
        <v>45465</v>
      </c>
      <c r="F261" s="2">
        <v>45468</v>
      </c>
      <c r="G261" t="s">
        <v>24</v>
      </c>
      <c r="H261" t="s">
        <v>25</v>
      </c>
      <c r="I261" s="3">
        <v>7304.79</v>
      </c>
      <c r="J261" s="4">
        <v>90</v>
      </c>
      <c r="K261" t="s">
        <v>16</v>
      </c>
      <c r="L261">
        <f t="shared" si="8"/>
        <v>3</v>
      </c>
      <c r="M261" t="str">
        <f t="shared" si="9"/>
        <v>65+</v>
      </c>
    </row>
    <row r="262" spans="1:13">
      <c r="A262" t="s">
        <v>552</v>
      </c>
      <c r="B262" t="s">
        <v>128</v>
      </c>
      <c r="C262">
        <v>44</v>
      </c>
      <c r="D262" t="s">
        <v>19</v>
      </c>
      <c r="E262" s="2">
        <v>45682</v>
      </c>
      <c r="F262" s="2">
        <v>45685</v>
      </c>
      <c r="G262" t="s">
        <v>24</v>
      </c>
      <c r="H262" t="s">
        <v>42</v>
      </c>
      <c r="I262" s="3">
        <v>4042.99</v>
      </c>
      <c r="J262" s="4">
        <v>100</v>
      </c>
      <c r="K262" t="s">
        <v>26</v>
      </c>
      <c r="L262">
        <f t="shared" si="8"/>
        <v>3</v>
      </c>
      <c r="M262" t="str">
        <f t="shared" si="9"/>
        <v>35–49</v>
      </c>
    </row>
    <row r="263" spans="1:13">
      <c r="A263" t="s">
        <v>553</v>
      </c>
      <c r="B263" t="s">
        <v>554</v>
      </c>
      <c r="C263">
        <v>25</v>
      </c>
      <c r="D263" t="s">
        <v>13</v>
      </c>
      <c r="E263" s="2">
        <v>45406</v>
      </c>
      <c r="F263" s="2">
        <v>45409</v>
      </c>
      <c r="G263" t="s">
        <v>32</v>
      </c>
      <c r="H263" t="s">
        <v>88</v>
      </c>
      <c r="I263" s="3">
        <v>2452.73</v>
      </c>
      <c r="J263" s="4">
        <v>0</v>
      </c>
      <c r="K263" t="s">
        <v>26</v>
      </c>
      <c r="L263">
        <f t="shared" si="8"/>
        <v>3</v>
      </c>
      <c r="M263" t="str">
        <f t="shared" si="9"/>
        <v>18–34</v>
      </c>
    </row>
    <row r="264" spans="1:13">
      <c r="A264" t="s">
        <v>555</v>
      </c>
      <c r="B264" t="s">
        <v>556</v>
      </c>
      <c r="C264">
        <v>15</v>
      </c>
      <c r="D264" t="s">
        <v>19</v>
      </c>
      <c r="E264" s="2">
        <v>46010</v>
      </c>
      <c r="F264" s="2">
        <v>46012</v>
      </c>
      <c r="G264" t="s">
        <v>50</v>
      </c>
      <c r="H264" t="s">
        <v>131</v>
      </c>
      <c r="I264" s="3">
        <v>1535.75</v>
      </c>
      <c r="J264" s="4">
        <v>90</v>
      </c>
      <c r="K264" t="s">
        <v>16</v>
      </c>
      <c r="L264">
        <f t="shared" si="8"/>
        <v>2</v>
      </c>
      <c r="M264" t="str">
        <f t="shared" si="9"/>
        <v>0–17</v>
      </c>
    </row>
    <row r="265" spans="1:13">
      <c r="A265" t="s">
        <v>557</v>
      </c>
      <c r="B265" t="s">
        <v>192</v>
      </c>
      <c r="C265">
        <v>39</v>
      </c>
      <c r="D265" t="s">
        <v>19</v>
      </c>
      <c r="E265" s="2">
        <v>45591</v>
      </c>
      <c r="F265" s="2">
        <v>45592</v>
      </c>
      <c r="G265" t="s">
        <v>32</v>
      </c>
      <c r="H265" t="s">
        <v>115</v>
      </c>
      <c r="I265" s="3">
        <v>600.19000000000005</v>
      </c>
      <c r="J265" s="4">
        <v>100</v>
      </c>
      <c r="K265" t="s">
        <v>16</v>
      </c>
      <c r="L265">
        <f t="shared" si="8"/>
        <v>1</v>
      </c>
      <c r="M265" t="str">
        <f t="shared" si="9"/>
        <v>35–49</v>
      </c>
    </row>
    <row r="266" spans="1:13">
      <c r="A266" t="s">
        <v>558</v>
      </c>
      <c r="B266" t="s">
        <v>559</v>
      </c>
      <c r="C266">
        <v>73</v>
      </c>
      <c r="D266" t="s">
        <v>19</v>
      </c>
      <c r="E266" s="2">
        <v>45531</v>
      </c>
      <c r="F266" s="2">
        <v>45533</v>
      </c>
      <c r="G266" t="s">
        <v>24</v>
      </c>
      <c r="H266" t="s">
        <v>83</v>
      </c>
      <c r="I266" s="3">
        <v>2662.2</v>
      </c>
      <c r="J266" s="4">
        <v>100</v>
      </c>
      <c r="K266" t="s">
        <v>16</v>
      </c>
      <c r="L266">
        <f t="shared" si="8"/>
        <v>2</v>
      </c>
      <c r="M266" t="str">
        <f t="shared" si="9"/>
        <v>65+</v>
      </c>
    </row>
    <row r="267" spans="1:13">
      <c r="A267" t="s">
        <v>560</v>
      </c>
      <c r="B267" t="s">
        <v>561</v>
      </c>
      <c r="C267">
        <v>58</v>
      </c>
      <c r="D267" t="s">
        <v>13</v>
      </c>
      <c r="E267" s="2">
        <v>45770</v>
      </c>
      <c r="F267" s="2">
        <v>45773</v>
      </c>
      <c r="G267" t="s">
        <v>24</v>
      </c>
      <c r="H267" t="s">
        <v>25</v>
      </c>
      <c r="I267" s="3">
        <v>2947.4</v>
      </c>
      <c r="J267" s="4">
        <v>90</v>
      </c>
      <c r="K267" t="s">
        <v>16</v>
      </c>
      <c r="L267">
        <f t="shared" si="8"/>
        <v>3</v>
      </c>
      <c r="M267" t="str">
        <f t="shared" si="9"/>
        <v>50–64</v>
      </c>
    </row>
    <row r="268" spans="1:13">
      <c r="A268" t="s">
        <v>562</v>
      </c>
      <c r="B268" t="s">
        <v>563</v>
      </c>
      <c r="C268">
        <v>58</v>
      </c>
      <c r="D268" t="s">
        <v>13</v>
      </c>
      <c r="E268" s="2">
        <v>45815</v>
      </c>
      <c r="F268" s="2">
        <v>45818</v>
      </c>
      <c r="G268" t="s">
        <v>61</v>
      </c>
      <c r="H268" t="s">
        <v>134</v>
      </c>
      <c r="I268" s="3">
        <v>6487.43</v>
      </c>
      <c r="J268" s="4">
        <v>80</v>
      </c>
      <c r="K268" t="s">
        <v>16</v>
      </c>
      <c r="L268">
        <f t="shared" si="8"/>
        <v>3</v>
      </c>
      <c r="M268" t="str">
        <f t="shared" si="9"/>
        <v>50–64</v>
      </c>
    </row>
    <row r="269" spans="1:13">
      <c r="A269" t="s">
        <v>564</v>
      </c>
      <c r="B269" t="s">
        <v>565</v>
      </c>
      <c r="C269">
        <v>78</v>
      </c>
      <c r="D269" t="s">
        <v>19</v>
      </c>
      <c r="E269" s="2">
        <v>45863</v>
      </c>
      <c r="F269" s="2">
        <v>45867</v>
      </c>
      <c r="G269" t="s">
        <v>14</v>
      </c>
      <c r="H269" t="s">
        <v>166</v>
      </c>
      <c r="I269" s="3">
        <v>5274.8</v>
      </c>
      <c r="J269" s="4">
        <v>80</v>
      </c>
      <c r="K269" t="s">
        <v>16</v>
      </c>
      <c r="L269">
        <f t="shared" si="8"/>
        <v>4</v>
      </c>
      <c r="M269" t="str">
        <f t="shared" si="9"/>
        <v>65+</v>
      </c>
    </row>
    <row r="270" spans="1:13">
      <c r="A270" t="s">
        <v>566</v>
      </c>
      <c r="B270" t="s">
        <v>567</v>
      </c>
      <c r="C270">
        <v>56</v>
      </c>
      <c r="D270" t="s">
        <v>13</v>
      </c>
      <c r="E270" s="2">
        <v>45919</v>
      </c>
      <c r="F270" s="2">
        <v>45925</v>
      </c>
      <c r="G270" t="s">
        <v>14</v>
      </c>
      <c r="H270" t="s">
        <v>15</v>
      </c>
      <c r="I270" s="3">
        <v>17770.45</v>
      </c>
      <c r="J270" s="4">
        <v>100</v>
      </c>
      <c r="K270" t="s">
        <v>16</v>
      </c>
      <c r="L270">
        <f t="shared" si="8"/>
        <v>6</v>
      </c>
      <c r="M270" t="str">
        <f t="shared" si="9"/>
        <v>50–64</v>
      </c>
    </row>
    <row r="271" spans="1:13">
      <c r="A271" t="s">
        <v>568</v>
      </c>
      <c r="B271" t="s">
        <v>569</v>
      </c>
      <c r="C271">
        <v>50</v>
      </c>
      <c r="D271" t="s">
        <v>19</v>
      </c>
      <c r="E271" s="2">
        <v>45989</v>
      </c>
      <c r="F271" s="2">
        <v>46003</v>
      </c>
      <c r="G271" t="s">
        <v>61</v>
      </c>
      <c r="H271" t="s">
        <v>134</v>
      </c>
      <c r="I271" s="3">
        <v>38493.53</v>
      </c>
      <c r="J271" s="4">
        <v>0</v>
      </c>
      <c r="K271" t="s">
        <v>16</v>
      </c>
      <c r="L271">
        <f t="shared" si="8"/>
        <v>14</v>
      </c>
      <c r="M271" t="str">
        <f t="shared" si="9"/>
        <v>50–64</v>
      </c>
    </row>
    <row r="272" spans="1:13">
      <c r="A272" t="s">
        <v>570</v>
      </c>
      <c r="B272" t="s">
        <v>571</v>
      </c>
      <c r="C272">
        <v>71</v>
      </c>
      <c r="D272" t="s">
        <v>19</v>
      </c>
      <c r="E272" s="2">
        <v>45366</v>
      </c>
      <c r="F272" s="2">
        <v>45369</v>
      </c>
      <c r="G272" t="s">
        <v>32</v>
      </c>
      <c r="H272" t="s">
        <v>33</v>
      </c>
      <c r="I272" s="3">
        <v>3136.05</v>
      </c>
      <c r="J272" s="4">
        <v>90</v>
      </c>
      <c r="K272" t="s">
        <v>16</v>
      </c>
      <c r="L272">
        <f t="shared" si="8"/>
        <v>3</v>
      </c>
      <c r="M272" t="str">
        <f t="shared" si="9"/>
        <v>65+</v>
      </c>
    </row>
    <row r="273" spans="1:13">
      <c r="A273" t="s">
        <v>572</v>
      </c>
      <c r="B273" t="s">
        <v>102</v>
      </c>
      <c r="C273">
        <v>41</v>
      </c>
      <c r="D273" t="s">
        <v>19</v>
      </c>
      <c r="E273" s="2">
        <v>45999</v>
      </c>
      <c r="F273" s="2">
        <v>46009</v>
      </c>
      <c r="G273" t="s">
        <v>14</v>
      </c>
      <c r="H273" t="s">
        <v>103</v>
      </c>
      <c r="I273" s="3">
        <v>28492.22</v>
      </c>
      <c r="J273" s="4">
        <v>90</v>
      </c>
      <c r="K273" t="s">
        <v>16</v>
      </c>
      <c r="L273">
        <f t="shared" si="8"/>
        <v>10</v>
      </c>
      <c r="M273" t="str">
        <f t="shared" si="9"/>
        <v>35–49</v>
      </c>
    </row>
    <row r="274" spans="1:13">
      <c r="A274" t="s">
        <v>573</v>
      </c>
      <c r="B274" t="s">
        <v>574</v>
      </c>
      <c r="C274">
        <v>47</v>
      </c>
      <c r="D274" t="s">
        <v>13</v>
      </c>
      <c r="E274" s="2">
        <v>45705</v>
      </c>
      <c r="F274" s="2">
        <v>45713</v>
      </c>
      <c r="G274" t="s">
        <v>14</v>
      </c>
      <c r="H274" t="s">
        <v>112</v>
      </c>
      <c r="I274" s="3">
        <v>11794.68</v>
      </c>
      <c r="J274" s="4">
        <v>70</v>
      </c>
      <c r="K274" t="s">
        <v>26</v>
      </c>
      <c r="L274">
        <f t="shared" si="8"/>
        <v>8</v>
      </c>
      <c r="M274" t="str">
        <f t="shared" si="9"/>
        <v>35–49</v>
      </c>
    </row>
    <row r="275" spans="1:13">
      <c r="A275" t="s">
        <v>575</v>
      </c>
      <c r="B275" t="s">
        <v>199</v>
      </c>
      <c r="C275">
        <v>16</v>
      </c>
      <c r="D275" t="s">
        <v>19</v>
      </c>
      <c r="E275" s="2">
        <v>45634</v>
      </c>
      <c r="F275" s="2">
        <v>45638</v>
      </c>
      <c r="G275" t="s">
        <v>50</v>
      </c>
      <c r="H275" t="s">
        <v>124</v>
      </c>
      <c r="I275" s="3">
        <v>5980.76</v>
      </c>
      <c r="J275" s="4">
        <v>80</v>
      </c>
      <c r="K275" t="s">
        <v>16</v>
      </c>
      <c r="L275">
        <f t="shared" si="8"/>
        <v>4</v>
      </c>
      <c r="M275" t="str">
        <f t="shared" si="9"/>
        <v>0–17</v>
      </c>
    </row>
    <row r="276" spans="1:13">
      <c r="A276" t="s">
        <v>576</v>
      </c>
      <c r="B276" t="s">
        <v>23</v>
      </c>
      <c r="C276">
        <v>56</v>
      </c>
      <c r="D276" t="s">
        <v>19</v>
      </c>
      <c r="E276" s="2">
        <v>45912</v>
      </c>
      <c r="F276" s="2">
        <v>45923</v>
      </c>
      <c r="G276" t="s">
        <v>71</v>
      </c>
      <c r="H276" t="s">
        <v>296</v>
      </c>
      <c r="I276" s="3">
        <v>16835.150000000001</v>
      </c>
      <c r="J276" s="4">
        <v>100</v>
      </c>
      <c r="K276" t="s">
        <v>16</v>
      </c>
      <c r="L276">
        <f t="shared" si="8"/>
        <v>11</v>
      </c>
      <c r="M276" t="str">
        <f t="shared" si="9"/>
        <v>50–64</v>
      </c>
    </row>
    <row r="277" spans="1:13">
      <c r="A277" t="s">
        <v>577</v>
      </c>
      <c r="B277" t="s">
        <v>578</v>
      </c>
      <c r="C277">
        <v>69</v>
      </c>
      <c r="D277" t="s">
        <v>19</v>
      </c>
      <c r="E277" s="2">
        <v>45933</v>
      </c>
      <c r="F277" s="2">
        <v>45937</v>
      </c>
      <c r="G277" t="s">
        <v>32</v>
      </c>
      <c r="H277" t="s">
        <v>115</v>
      </c>
      <c r="I277" s="3">
        <v>2837.18</v>
      </c>
      <c r="J277" s="4">
        <v>100</v>
      </c>
      <c r="K277" t="s">
        <v>26</v>
      </c>
      <c r="L277">
        <f t="shared" si="8"/>
        <v>4</v>
      </c>
      <c r="M277" t="str">
        <f t="shared" si="9"/>
        <v>65+</v>
      </c>
    </row>
    <row r="278" spans="1:13">
      <c r="A278" t="s">
        <v>579</v>
      </c>
      <c r="B278" t="s">
        <v>580</v>
      </c>
      <c r="C278">
        <v>39</v>
      </c>
      <c r="D278" t="s">
        <v>19</v>
      </c>
      <c r="E278" s="2">
        <v>45778</v>
      </c>
      <c r="F278" s="2">
        <v>45785</v>
      </c>
      <c r="G278" t="s">
        <v>32</v>
      </c>
      <c r="H278" t="s">
        <v>36</v>
      </c>
      <c r="I278" s="3">
        <v>5652.05</v>
      </c>
      <c r="J278" s="4">
        <v>0</v>
      </c>
      <c r="K278" t="s">
        <v>21</v>
      </c>
      <c r="L278">
        <f t="shared" si="8"/>
        <v>7</v>
      </c>
      <c r="M278" t="str">
        <f t="shared" si="9"/>
        <v>35–49</v>
      </c>
    </row>
    <row r="279" spans="1:13">
      <c r="A279" t="s">
        <v>581</v>
      </c>
      <c r="B279" t="s">
        <v>582</v>
      </c>
      <c r="C279">
        <v>51</v>
      </c>
      <c r="D279" t="s">
        <v>19</v>
      </c>
      <c r="E279" s="2">
        <v>45348</v>
      </c>
      <c r="F279" s="2">
        <v>45356</v>
      </c>
      <c r="G279" t="s">
        <v>14</v>
      </c>
      <c r="H279" t="s">
        <v>15</v>
      </c>
      <c r="I279" s="3">
        <v>15284.52</v>
      </c>
      <c r="J279" s="4">
        <v>90</v>
      </c>
      <c r="K279" t="s">
        <v>16</v>
      </c>
      <c r="L279">
        <f t="shared" si="8"/>
        <v>8</v>
      </c>
      <c r="M279" t="str">
        <f t="shared" si="9"/>
        <v>50–64</v>
      </c>
    </row>
    <row r="280" spans="1:13">
      <c r="A280" t="s">
        <v>583</v>
      </c>
      <c r="B280" t="s">
        <v>584</v>
      </c>
      <c r="C280">
        <v>22</v>
      </c>
      <c r="D280" t="s">
        <v>13</v>
      </c>
      <c r="E280" s="2">
        <v>45465</v>
      </c>
      <c r="F280" s="2">
        <v>45470</v>
      </c>
      <c r="G280" t="s">
        <v>32</v>
      </c>
      <c r="H280" t="s">
        <v>45</v>
      </c>
      <c r="I280" s="3">
        <v>6837.91</v>
      </c>
      <c r="J280" s="4">
        <v>80</v>
      </c>
      <c r="K280" t="s">
        <v>21</v>
      </c>
      <c r="L280">
        <f t="shared" si="8"/>
        <v>5</v>
      </c>
      <c r="M280" t="str">
        <f t="shared" si="9"/>
        <v>18–34</v>
      </c>
    </row>
    <row r="281" spans="1:13">
      <c r="A281" t="s">
        <v>585</v>
      </c>
      <c r="B281" t="s">
        <v>586</v>
      </c>
      <c r="C281">
        <v>27</v>
      </c>
      <c r="D281" t="s">
        <v>19</v>
      </c>
      <c r="E281" s="2">
        <v>45853</v>
      </c>
      <c r="F281" s="2">
        <v>45863</v>
      </c>
      <c r="G281" t="s">
        <v>61</v>
      </c>
      <c r="H281" t="s">
        <v>75</v>
      </c>
      <c r="I281" s="3">
        <v>16726.009999999998</v>
      </c>
      <c r="J281" s="4">
        <v>80</v>
      </c>
      <c r="K281" t="s">
        <v>16</v>
      </c>
      <c r="L281">
        <f t="shared" si="8"/>
        <v>10</v>
      </c>
      <c r="M281" t="str">
        <f t="shared" si="9"/>
        <v>18–34</v>
      </c>
    </row>
    <row r="282" spans="1:13">
      <c r="A282" t="s">
        <v>587</v>
      </c>
      <c r="B282" t="s">
        <v>588</v>
      </c>
      <c r="C282">
        <v>85</v>
      </c>
      <c r="D282" t="s">
        <v>19</v>
      </c>
      <c r="E282" s="2">
        <v>45547</v>
      </c>
      <c r="F282" s="2">
        <v>45553</v>
      </c>
      <c r="G282" t="s">
        <v>14</v>
      </c>
      <c r="H282" t="s">
        <v>112</v>
      </c>
      <c r="I282" s="3">
        <v>17937.11</v>
      </c>
      <c r="J282" s="4">
        <v>70</v>
      </c>
      <c r="K282" t="s">
        <v>26</v>
      </c>
      <c r="L282">
        <f t="shared" si="8"/>
        <v>6</v>
      </c>
      <c r="M282" t="str">
        <f t="shared" si="9"/>
        <v>65+</v>
      </c>
    </row>
    <row r="283" spans="1:13">
      <c r="A283" t="s">
        <v>589</v>
      </c>
      <c r="B283" t="s">
        <v>590</v>
      </c>
      <c r="C283">
        <v>33</v>
      </c>
      <c r="D283" t="s">
        <v>13</v>
      </c>
      <c r="E283" s="2">
        <v>45601</v>
      </c>
      <c r="F283" s="2">
        <v>45615</v>
      </c>
      <c r="G283" t="s">
        <v>61</v>
      </c>
      <c r="H283" t="s">
        <v>143</v>
      </c>
      <c r="I283" s="3">
        <v>27571.59</v>
      </c>
      <c r="J283" s="4">
        <v>90</v>
      </c>
      <c r="K283" t="s">
        <v>16</v>
      </c>
      <c r="L283">
        <f t="shared" si="8"/>
        <v>14</v>
      </c>
      <c r="M283" t="str">
        <f t="shared" si="9"/>
        <v>18–34</v>
      </c>
    </row>
    <row r="284" spans="1:13">
      <c r="A284" t="s">
        <v>591</v>
      </c>
      <c r="B284" t="s">
        <v>102</v>
      </c>
      <c r="C284">
        <v>83</v>
      </c>
      <c r="D284" t="s">
        <v>19</v>
      </c>
      <c r="E284" s="2">
        <v>45589</v>
      </c>
      <c r="F284" s="2">
        <v>45595</v>
      </c>
      <c r="G284" t="s">
        <v>14</v>
      </c>
      <c r="H284" t="s">
        <v>112</v>
      </c>
      <c r="I284" s="3">
        <v>13621.44</v>
      </c>
      <c r="J284" s="4">
        <v>70</v>
      </c>
      <c r="K284" t="s">
        <v>26</v>
      </c>
      <c r="L284">
        <f t="shared" si="8"/>
        <v>6</v>
      </c>
      <c r="M284" t="str">
        <f t="shared" si="9"/>
        <v>65+</v>
      </c>
    </row>
    <row r="285" spans="1:13">
      <c r="A285" t="s">
        <v>592</v>
      </c>
      <c r="B285" t="s">
        <v>593</v>
      </c>
      <c r="C285">
        <v>54</v>
      </c>
      <c r="D285" t="s">
        <v>13</v>
      </c>
      <c r="E285" s="2">
        <v>45579</v>
      </c>
      <c r="F285" s="2">
        <v>45584</v>
      </c>
      <c r="G285" t="s">
        <v>71</v>
      </c>
      <c r="H285" t="s">
        <v>296</v>
      </c>
      <c r="I285" s="3">
        <v>7553.52</v>
      </c>
      <c r="J285" s="4">
        <v>50</v>
      </c>
      <c r="K285" t="s">
        <v>16</v>
      </c>
      <c r="L285">
        <f t="shared" si="8"/>
        <v>5</v>
      </c>
      <c r="M285" t="str">
        <f t="shared" si="9"/>
        <v>50–64</v>
      </c>
    </row>
    <row r="286" spans="1:13">
      <c r="A286" t="s">
        <v>594</v>
      </c>
      <c r="B286" t="s">
        <v>595</v>
      </c>
      <c r="C286">
        <v>53</v>
      </c>
      <c r="D286" t="s">
        <v>19</v>
      </c>
      <c r="E286" s="2">
        <v>45612</v>
      </c>
      <c r="F286" s="2">
        <v>45625</v>
      </c>
      <c r="G286" t="s">
        <v>61</v>
      </c>
      <c r="H286" t="s">
        <v>134</v>
      </c>
      <c r="I286" s="3">
        <v>34671.78</v>
      </c>
      <c r="J286" s="4">
        <v>60</v>
      </c>
      <c r="K286" t="s">
        <v>16</v>
      </c>
      <c r="L286">
        <f t="shared" si="8"/>
        <v>13</v>
      </c>
      <c r="M286" t="str">
        <f t="shared" si="9"/>
        <v>50–64</v>
      </c>
    </row>
    <row r="287" spans="1:13">
      <c r="A287" t="s">
        <v>596</v>
      </c>
      <c r="B287" t="s">
        <v>597</v>
      </c>
      <c r="C287">
        <v>81</v>
      </c>
      <c r="D287" t="s">
        <v>13</v>
      </c>
      <c r="E287" s="2">
        <v>45868</v>
      </c>
      <c r="F287" s="2">
        <v>45873</v>
      </c>
      <c r="G287" t="s">
        <v>14</v>
      </c>
      <c r="H287" t="s">
        <v>112</v>
      </c>
      <c r="I287" s="3">
        <v>13674.29</v>
      </c>
      <c r="J287" s="4">
        <v>80</v>
      </c>
      <c r="K287" t="s">
        <v>16</v>
      </c>
      <c r="L287">
        <f t="shared" si="8"/>
        <v>5</v>
      </c>
      <c r="M287" t="str">
        <f t="shared" si="9"/>
        <v>65+</v>
      </c>
    </row>
    <row r="288" spans="1:13">
      <c r="A288" t="s">
        <v>598</v>
      </c>
      <c r="B288" t="s">
        <v>599</v>
      </c>
      <c r="C288">
        <v>31</v>
      </c>
      <c r="D288" t="s">
        <v>19</v>
      </c>
      <c r="E288" s="2">
        <v>45706</v>
      </c>
      <c r="F288" s="2">
        <v>45716</v>
      </c>
      <c r="G288" t="s">
        <v>71</v>
      </c>
      <c r="H288" t="s">
        <v>158</v>
      </c>
      <c r="I288" s="3">
        <v>18872.25</v>
      </c>
      <c r="J288" s="4">
        <v>100</v>
      </c>
      <c r="K288" t="s">
        <v>16</v>
      </c>
      <c r="L288">
        <f t="shared" si="8"/>
        <v>10</v>
      </c>
      <c r="M288" t="str">
        <f t="shared" si="9"/>
        <v>18–34</v>
      </c>
    </row>
    <row r="289" spans="1:13">
      <c r="A289" t="s">
        <v>600</v>
      </c>
      <c r="B289" t="s">
        <v>601</v>
      </c>
      <c r="C289">
        <v>22</v>
      </c>
      <c r="D289" t="s">
        <v>13</v>
      </c>
      <c r="E289" s="2">
        <v>45648</v>
      </c>
      <c r="F289" s="2">
        <v>45654</v>
      </c>
      <c r="G289" t="s">
        <v>32</v>
      </c>
      <c r="H289" t="s">
        <v>45</v>
      </c>
      <c r="I289" s="3">
        <v>8363.1</v>
      </c>
      <c r="J289" s="4">
        <v>60</v>
      </c>
      <c r="K289" t="s">
        <v>26</v>
      </c>
      <c r="L289">
        <f t="shared" si="8"/>
        <v>6</v>
      </c>
      <c r="M289" t="str">
        <f t="shared" si="9"/>
        <v>18–34</v>
      </c>
    </row>
    <row r="290" spans="1:13">
      <c r="A290" t="s">
        <v>602</v>
      </c>
      <c r="B290" t="s">
        <v>603</v>
      </c>
      <c r="C290">
        <v>1</v>
      </c>
      <c r="D290" t="s">
        <v>13</v>
      </c>
      <c r="E290" s="2">
        <v>45990</v>
      </c>
      <c r="F290" s="2">
        <v>45993</v>
      </c>
      <c r="G290" t="s">
        <v>50</v>
      </c>
      <c r="H290" t="s">
        <v>121</v>
      </c>
      <c r="I290" s="3">
        <v>3886.44</v>
      </c>
      <c r="J290" s="4">
        <v>90</v>
      </c>
      <c r="K290" t="s">
        <v>16</v>
      </c>
      <c r="L290">
        <f t="shared" si="8"/>
        <v>3</v>
      </c>
      <c r="M290" t="str">
        <f t="shared" si="9"/>
        <v>0–17</v>
      </c>
    </row>
    <row r="291" spans="1:13">
      <c r="A291" t="s">
        <v>604</v>
      </c>
      <c r="B291" t="s">
        <v>605</v>
      </c>
      <c r="C291">
        <v>52</v>
      </c>
      <c r="D291" t="s">
        <v>13</v>
      </c>
      <c r="E291" s="2">
        <v>45929</v>
      </c>
      <c r="F291" s="2">
        <v>45931</v>
      </c>
      <c r="G291" t="s">
        <v>32</v>
      </c>
      <c r="H291" t="s">
        <v>88</v>
      </c>
      <c r="I291" s="3">
        <v>2780.94</v>
      </c>
      <c r="J291" s="4">
        <v>80</v>
      </c>
      <c r="K291" t="s">
        <v>16</v>
      </c>
      <c r="L291">
        <f t="shared" si="8"/>
        <v>2</v>
      </c>
      <c r="M291" t="str">
        <f t="shared" si="9"/>
        <v>50–64</v>
      </c>
    </row>
    <row r="292" spans="1:13">
      <c r="A292" t="s">
        <v>606</v>
      </c>
      <c r="B292" t="s">
        <v>607</v>
      </c>
      <c r="C292">
        <v>11</v>
      </c>
      <c r="D292" t="s">
        <v>13</v>
      </c>
      <c r="E292" s="2">
        <v>45399</v>
      </c>
      <c r="F292" s="2">
        <v>45400</v>
      </c>
      <c r="G292" t="s">
        <v>50</v>
      </c>
      <c r="H292" t="s">
        <v>51</v>
      </c>
      <c r="I292" s="3">
        <v>1277.56</v>
      </c>
      <c r="J292" s="4">
        <v>70</v>
      </c>
      <c r="K292" t="s">
        <v>21</v>
      </c>
      <c r="L292">
        <f t="shared" si="8"/>
        <v>1</v>
      </c>
      <c r="M292" t="str">
        <f t="shared" si="9"/>
        <v>0–17</v>
      </c>
    </row>
    <row r="293" spans="1:13">
      <c r="A293" t="s">
        <v>608</v>
      </c>
      <c r="B293" t="s">
        <v>609</v>
      </c>
      <c r="C293">
        <v>6</v>
      </c>
      <c r="D293" t="s">
        <v>19</v>
      </c>
      <c r="E293" s="2">
        <v>45343</v>
      </c>
      <c r="F293" s="2">
        <v>45346</v>
      </c>
      <c r="G293" t="s">
        <v>50</v>
      </c>
      <c r="H293" t="s">
        <v>131</v>
      </c>
      <c r="I293" s="3">
        <v>2921.29</v>
      </c>
      <c r="J293" s="4">
        <v>50</v>
      </c>
      <c r="K293" t="s">
        <v>26</v>
      </c>
      <c r="L293">
        <f t="shared" si="8"/>
        <v>3</v>
      </c>
      <c r="M293" t="str">
        <f t="shared" si="9"/>
        <v>0–17</v>
      </c>
    </row>
    <row r="294" spans="1:13">
      <c r="A294" t="s">
        <v>610</v>
      </c>
      <c r="B294" t="s">
        <v>611</v>
      </c>
      <c r="C294">
        <v>74</v>
      </c>
      <c r="D294" t="s">
        <v>19</v>
      </c>
      <c r="E294" s="2">
        <v>45486</v>
      </c>
      <c r="F294" s="2">
        <v>45489</v>
      </c>
      <c r="G294" t="s">
        <v>24</v>
      </c>
      <c r="H294" t="s">
        <v>29</v>
      </c>
      <c r="I294" s="3">
        <v>4516.54</v>
      </c>
      <c r="J294" s="4">
        <v>70</v>
      </c>
      <c r="K294" t="s">
        <v>21</v>
      </c>
      <c r="L294">
        <f t="shared" si="8"/>
        <v>3</v>
      </c>
      <c r="M294" t="str">
        <f t="shared" si="9"/>
        <v>65+</v>
      </c>
    </row>
    <row r="295" spans="1:13">
      <c r="A295" t="s">
        <v>612</v>
      </c>
      <c r="B295" t="s">
        <v>613</v>
      </c>
      <c r="C295">
        <v>37</v>
      </c>
      <c r="D295" t="s">
        <v>19</v>
      </c>
      <c r="E295" s="2">
        <v>45372</v>
      </c>
      <c r="F295" s="2">
        <v>45385</v>
      </c>
      <c r="G295" t="s">
        <v>61</v>
      </c>
      <c r="H295" t="s">
        <v>134</v>
      </c>
      <c r="I295" s="3">
        <v>15943.22</v>
      </c>
      <c r="J295" s="4">
        <v>80</v>
      </c>
      <c r="K295" t="s">
        <v>16</v>
      </c>
      <c r="L295">
        <f t="shared" si="8"/>
        <v>13</v>
      </c>
      <c r="M295" t="str">
        <f t="shared" si="9"/>
        <v>35–49</v>
      </c>
    </row>
    <row r="296" spans="1:13">
      <c r="A296" t="s">
        <v>614</v>
      </c>
      <c r="B296" t="s">
        <v>184</v>
      </c>
      <c r="C296">
        <v>84</v>
      </c>
      <c r="D296" t="s">
        <v>19</v>
      </c>
      <c r="E296" s="2">
        <v>45443</v>
      </c>
      <c r="F296" s="2">
        <v>45446</v>
      </c>
      <c r="G296" t="s">
        <v>14</v>
      </c>
      <c r="H296" t="s">
        <v>20</v>
      </c>
      <c r="I296" s="3">
        <v>6113</v>
      </c>
      <c r="J296" s="4">
        <v>80</v>
      </c>
      <c r="K296" t="s">
        <v>16</v>
      </c>
      <c r="L296">
        <f t="shared" si="8"/>
        <v>3</v>
      </c>
      <c r="M296" t="str">
        <f t="shared" si="9"/>
        <v>65+</v>
      </c>
    </row>
    <row r="297" spans="1:13">
      <c r="A297" t="s">
        <v>615</v>
      </c>
      <c r="B297" t="s">
        <v>517</v>
      </c>
      <c r="C297">
        <v>70</v>
      </c>
      <c r="D297" t="s">
        <v>13</v>
      </c>
      <c r="E297" s="2">
        <v>45507</v>
      </c>
      <c r="F297" s="2">
        <v>45510</v>
      </c>
      <c r="G297" t="s">
        <v>24</v>
      </c>
      <c r="H297" t="s">
        <v>42</v>
      </c>
      <c r="I297" s="3">
        <v>4356.16</v>
      </c>
      <c r="J297" s="4">
        <v>0</v>
      </c>
      <c r="K297" t="s">
        <v>16</v>
      </c>
      <c r="L297">
        <f t="shared" si="8"/>
        <v>3</v>
      </c>
      <c r="M297" t="str">
        <f t="shared" si="9"/>
        <v>65+</v>
      </c>
    </row>
    <row r="298" spans="1:13">
      <c r="A298" t="s">
        <v>616</v>
      </c>
      <c r="B298" t="s">
        <v>617</v>
      </c>
      <c r="C298">
        <v>18</v>
      </c>
      <c r="D298" t="s">
        <v>13</v>
      </c>
      <c r="E298" s="2">
        <v>45794</v>
      </c>
      <c r="F298" s="2">
        <v>45797</v>
      </c>
      <c r="G298" t="s">
        <v>24</v>
      </c>
      <c r="H298" t="s">
        <v>25</v>
      </c>
      <c r="I298" s="3">
        <v>2810.17</v>
      </c>
      <c r="J298" s="4">
        <v>90</v>
      </c>
      <c r="K298" t="s">
        <v>16</v>
      </c>
      <c r="L298">
        <f t="shared" si="8"/>
        <v>3</v>
      </c>
      <c r="M298" t="str">
        <f t="shared" si="9"/>
        <v>18–34</v>
      </c>
    </row>
    <row r="299" spans="1:13">
      <c r="A299" t="s">
        <v>618</v>
      </c>
      <c r="B299" t="s">
        <v>619</v>
      </c>
      <c r="C299">
        <v>41</v>
      </c>
      <c r="D299" t="s">
        <v>19</v>
      </c>
      <c r="E299" s="2">
        <v>45559</v>
      </c>
      <c r="F299" s="2">
        <v>45563</v>
      </c>
      <c r="G299" t="s">
        <v>32</v>
      </c>
      <c r="H299" t="s">
        <v>88</v>
      </c>
      <c r="I299" s="3">
        <v>3049.69</v>
      </c>
      <c r="J299" s="4">
        <v>60</v>
      </c>
      <c r="K299" t="s">
        <v>16</v>
      </c>
      <c r="L299">
        <f t="shared" si="8"/>
        <v>4</v>
      </c>
      <c r="M299" t="str">
        <f t="shared" si="9"/>
        <v>35–49</v>
      </c>
    </row>
    <row r="300" spans="1:13">
      <c r="A300" t="s">
        <v>620</v>
      </c>
      <c r="B300" t="s">
        <v>621</v>
      </c>
      <c r="C300">
        <v>70</v>
      </c>
      <c r="D300" t="s">
        <v>19</v>
      </c>
      <c r="E300" s="2">
        <v>45763</v>
      </c>
      <c r="F300" s="2">
        <v>45766</v>
      </c>
      <c r="G300" t="s">
        <v>32</v>
      </c>
      <c r="H300" t="s">
        <v>88</v>
      </c>
      <c r="I300" s="3">
        <v>2096.4899999999998</v>
      </c>
      <c r="J300" s="4">
        <v>60</v>
      </c>
      <c r="K300" t="s">
        <v>21</v>
      </c>
      <c r="L300">
        <f t="shared" si="8"/>
        <v>3</v>
      </c>
      <c r="M300" t="str">
        <f t="shared" si="9"/>
        <v>65+</v>
      </c>
    </row>
    <row r="301" spans="1:13">
      <c r="A301" t="s">
        <v>622</v>
      </c>
      <c r="B301" t="s">
        <v>623</v>
      </c>
      <c r="C301">
        <v>44</v>
      </c>
      <c r="D301" t="s">
        <v>19</v>
      </c>
      <c r="E301" s="2">
        <v>45905</v>
      </c>
      <c r="F301" s="2">
        <v>45910</v>
      </c>
      <c r="G301" t="s">
        <v>61</v>
      </c>
      <c r="H301" t="s">
        <v>98</v>
      </c>
      <c r="I301" s="3">
        <v>12341.99</v>
      </c>
      <c r="J301" s="4">
        <v>70</v>
      </c>
      <c r="K301" t="s">
        <v>16</v>
      </c>
      <c r="L301">
        <f t="shared" si="8"/>
        <v>5</v>
      </c>
      <c r="M301" t="str">
        <f t="shared" si="9"/>
        <v>35–49</v>
      </c>
    </row>
    <row r="302" spans="1:13">
      <c r="A302" t="s">
        <v>624</v>
      </c>
      <c r="B302" t="s">
        <v>625</v>
      </c>
      <c r="C302">
        <v>31</v>
      </c>
      <c r="D302" t="s">
        <v>13</v>
      </c>
      <c r="E302" s="2">
        <v>45882</v>
      </c>
      <c r="F302" s="2">
        <v>45885</v>
      </c>
      <c r="G302" t="s">
        <v>24</v>
      </c>
      <c r="H302" t="s">
        <v>334</v>
      </c>
      <c r="I302" s="3">
        <v>3445.79</v>
      </c>
      <c r="J302" s="4">
        <v>90</v>
      </c>
      <c r="K302" t="s">
        <v>16</v>
      </c>
      <c r="L302">
        <f t="shared" si="8"/>
        <v>3</v>
      </c>
      <c r="M302" t="str">
        <f t="shared" si="9"/>
        <v>18–34</v>
      </c>
    </row>
    <row r="303" spans="1:13">
      <c r="A303" t="s">
        <v>626</v>
      </c>
      <c r="B303" t="s">
        <v>627</v>
      </c>
      <c r="C303">
        <v>68</v>
      </c>
      <c r="D303" t="s">
        <v>19</v>
      </c>
      <c r="E303" s="2">
        <v>45395</v>
      </c>
      <c r="F303" s="2">
        <v>45398</v>
      </c>
      <c r="G303" t="s">
        <v>14</v>
      </c>
      <c r="H303" t="s">
        <v>112</v>
      </c>
      <c r="I303" s="3">
        <v>4176.93</v>
      </c>
      <c r="J303" s="4">
        <v>0</v>
      </c>
      <c r="K303" t="s">
        <v>16</v>
      </c>
      <c r="L303">
        <f t="shared" si="8"/>
        <v>3</v>
      </c>
      <c r="M303" t="str">
        <f t="shared" si="9"/>
        <v>65+</v>
      </c>
    </row>
    <row r="304" spans="1:13">
      <c r="A304" t="s">
        <v>628</v>
      </c>
      <c r="B304" t="s">
        <v>629</v>
      </c>
      <c r="C304">
        <v>50</v>
      </c>
      <c r="D304" t="s">
        <v>13</v>
      </c>
      <c r="E304" s="2">
        <v>46019</v>
      </c>
      <c r="F304" s="2">
        <v>46024</v>
      </c>
      <c r="G304" t="s">
        <v>14</v>
      </c>
      <c r="H304" t="s">
        <v>103</v>
      </c>
      <c r="I304" s="3">
        <v>10022.5</v>
      </c>
      <c r="J304" s="4">
        <v>70</v>
      </c>
      <c r="K304" t="s">
        <v>21</v>
      </c>
      <c r="L304">
        <f t="shared" si="8"/>
        <v>5</v>
      </c>
      <c r="M304" t="str">
        <f t="shared" si="9"/>
        <v>50–64</v>
      </c>
    </row>
    <row r="305" spans="1:13">
      <c r="A305" t="s">
        <v>630</v>
      </c>
      <c r="B305" t="s">
        <v>631</v>
      </c>
      <c r="C305">
        <v>57</v>
      </c>
      <c r="D305" t="s">
        <v>13</v>
      </c>
      <c r="E305" s="2">
        <v>45342</v>
      </c>
      <c r="F305" s="2">
        <v>45349</v>
      </c>
      <c r="G305" t="s">
        <v>71</v>
      </c>
      <c r="H305" t="s">
        <v>158</v>
      </c>
      <c r="I305" s="3">
        <v>13346.03</v>
      </c>
      <c r="J305" s="4">
        <v>60</v>
      </c>
      <c r="K305" t="s">
        <v>16</v>
      </c>
      <c r="L305">
        <f t="shared" si="8"/>
        <v>7</v>
      </c>
      <c r="M305" t="str">
        <f t="shared" si="9"/>
        <v>50–64</v>
      </c>
    </row>
    <row r="306" spans="1:13">
      <c r="A306" t="s">
        <v>632</v>
      </c>
      <c r="B306" t="s">
        <v>329</v>
      </c>
      <c r="C306">
        <v>67</v>
      </c>
      <c r="D306" t="s">
        <v>19</v>
      </c>
      <c r="E306" s="2">
        <v>45912</v>
      </c>
      <c r="F306" s="2">
        <v>45918</v>
      </c>
      <c r="G306" t="s">
        <v>61</v>
      </c>
      <c r="H306" t="s">
        <v>98</v>
      </c>
      <c r="I306" s="3">
        <v>12949.84</v>
      </c>
      <c r="J306" s="4">
        <v>80</v>
      </c>
      <c r="K306" t="s">
        <v>16</v>
      </c>
      <c r="L306">
        <f t="shared" si="8"/>
        <v>6</v>
      </c>
      <c r="M306" t="str">
        <f t="shared" si="9"/>
        <v>65+</v>
      </c>
    </row>
    <row r="307" spans="1:13">
      <c r="A307" t="s">
        <v>633</v>
      </c>
      <c r="B307" t="s">
        <v>634</v>
      </c>
      <c r="C307">
        <v>76</v>
      </c>
      <c r="D307" t="s">
        <v>19</v>
      </c>
      <c r="E307" s="2">
        <v>45744</v>
      </c>
      <c r="F307" s="2">
        <v>45747</v>
      </c>
      <c r="G307" t="s">
        <v>71</v>
      </c>
      <c r="H307" t="s">
        <v>72</v>
      </c>
      <c r="I307" s="3">
        <v>5780.36</v>
      </c>
      <c r="J307" s="4">
        <v>90</v>
      </c>
      <c r="K307" t="s">
        <v>26</v>
      </c>
      <c r="L307">
        <f t="shared" si="8"/>
        <v>3</v>
      </c>
      <c r="M307" t="str">
        <f t="shared" si="9"/>
        <v>65+</v>
      </c>
    </row>
    <row r="308" spans="1:13">
      <c r="A308" t="s">
        <v>635</v>
      </c>
      <c r="B308" t="s">
        <v>636</v>
      </c>
      <c r="C308">
        <v>25</v>
      </c>
      <c r="D308" t="s">
        <v>13</v>
      </c>
      <c r="E308" s="2">
        <v>45928</v>
      </c>
      <c r="F308" s="2">
        <v>45937</v>
      </c>
      <c r="G308" t="s">
        <v>61</v>
      </c>
      <c r="H308" t="s">
        <v>98</v>
      </c>
      <c r="I308" s="3">
        <v>12079.5</v>
      </c>
      <c r="J308" s="4">
        <v>60</v>
      </c>
      <c r="K308" t="s">
        <v>21</v>
      </c>
      <c r="L308">
        <f t="shared" si="8"/>
        <v>9</v>
      </c>
      <c r="M308" t="str">
        <f t="shared" si="9"/>
        <v>18–34</v>
      </c>
    </row>
    <row r="309" spans="1:13">
      <c r="A309" t="s">
        <v>637</v>
      </c>
      <c r="B309" t="s">
        <v>638</v>
      </c>
      <c r="C309">
        <v>40</v>
      </c>
      <c r="D309" t="s">
        <v>13</v>
      </c>
      <c r="E309" s="2">
        <v>45615</v>
      </c>
      <c r="F309" s="2">
        <v>45622</v>
      </c>
      <c r="G309" t="s">
        <v>32</v>
      </c>
      <c r="H309" t="s">
        <v>54</v>
      </c>
      <c r="I309" s="3">
        <v>7389.52</v>
      </c>
      <c r="J309" s="4">
        <v>80</v>
      </c>
      <c r="K309" t="s">
        <v>21</v>
      </c>
      <c r="L309">
        <f t="shared" si="8"/>
        <v>7</v>
      </c>
      <c r="M309" t="str">
        <f t="shared" si="9"/>
        <v>35–49</v>
      </c>
    </row>
    <row r="310" spans="1:13">
      <c r="A310" t="s">
        <v>639</v>
      </c>
      <c r="B310" t="s">
        <v>640</v>
      </c>
      <c r="C310">
        <v>78</v>
      </c>
      <c r="D310" t="s">
        <v>13</v>
      </c>
      <c r="E310" s="2">
        <v>45888</v>
      </c>
      <c r="F310" s="2">
        <v>45891</v>
      </c>
      <c r="G310" t="s">
        <v>14</v>
      </c>
      <c r="H310" t="s">
        <v>15</v>
      </c>
      <c r="I310" s="3">
        <v>5108.6400000000003</v>
      </c>
      <c r="J310" s="4">
        <v>60</v>
      </c>
      <c r="K310" t="s">
        <v>21</v>
      </c>
      <c r="L310">
        <f t="shared" si="8"/>
        <v>3</v>
      </c>
      <c r="M310" t="str">
        <f t="shared" si="9"/>
        <v>65+</v>
      </c>
    </row>
    <row r="311" spans="1:13">
      <c r="A311" t="s">
        <v>641</v>
      </c>
      <c r="B311" t="s">
        <v>642</v>
      </c>
      <c r="C311">
        <v>30</v>
      </c>
      <c r="D311" t="s">
        <v>13</v>
      </c>
      <c r="E311" s="2">
        <v>45436</v>
      </c>
      <c r="F311" s="2">
        <v>45438</v>
      </c>
      <c r="G311" t="s">
        <v>24</v>
      </c>
      <c r="H311" t="s">
        <v>42</v>
      </c>
      <c r="I311" s="3">
        <v>3176.54</v>
      </c>
      <c r="J311" s="4">
        <v>80</v>
      </c>
      <c r="K311" t="s">
        <v>16</v>
      </c>
      <c r="L311">
        <f t="shared" si="8"/>
        <v>2</v>
      </c>
      <c r="M311" t="str">
        <f t="shared" si="9"/>
        <v>18–34</v>
      </c>
    </row>
    <row r="312" spans="1:13">
      <c r="A312" t="s">
        <v>643</v>
      </c>
      <c r="B312" t="s">
        <v>644</v>
      </c>
      <c r="C312">
        <v>54</v>
      </c>
      <c r="D312" t="s">
        <v>13</v>
      </c>
      <c r="E312" s="2">
        <v>45544</v>
      </c>
      <c r="F312" s="2">
        <v>45552</v>
      </c>
      <c r="G312" t="s">
        <v>61</v>
      </c>
      <c r="H312" t="s">
        <v>134</v>
      </c>
      <c r="I312" s="3">
        <v>17049.400000000001</v>
      </c>
      <c r="J312" s="4">
        <v>100</v>
      </c>
      <c r="K312" t="s">
        <v>26</v>
      </c>
      <c r="L312">
        <f t="shared" si="8"/>
        <v>8</v>
      </c>
      <c r="M312" t="str">
        <f t="shared" si="9"/>
        <v>50–64</v>
      </c>
    </row>
    <row r="313" spans="1:13">
      <c r="A313" t="s">
        <v>645</v>
      </c>
      <c r="B313" t="s">
        <v>646</v>
      </c>
      <c r="C313">
        <v>67</v>
      </c>
      <c r="D313" t="s">
        <v>19</v>
      </c>
      <c r="E313" s="2">
        <v>45969</v>
      </c>
      <c r="F313" s="2">
        <v>45970</v>
      </c>
      <c r="G313" t="s">
        <v>24</v>
      </c>
      <c r="H313" t="s">
        <v>334</v>
      </c>
      <c r="I313" s="3">
        <v>1997.86</v>
      </c>
      <c r="J313" s="4">
        <v>70</v>
      </c>
      <c r="K313" t="s">
        <v>16</v>
      </c>
      <c r="L313">
        <f t="shared" si="8"/>
        <v>1</v>
      </c>
      <c r="M313" t="str">
        <f t="shared" si="9"/>
        <v>65+</v>
      </c>
    </row>
    <row r="314" spans="1:13">
      <c r="A314" t="s">
        <v>647</v>
      </c>
      <c r="B314" t="s">
        <v>648</v>
      </c>
      <c r="C314">
        <v>43</v>
      </c>
      <c r="D314" t="s">
        <v>13</v>
      </c>
      <c r="E314" s="2">
        <v>45519</v>
      </c>
      <c r="F314" s="2">
        <v>45523</v>
      </c>
      <c r="G314" t="s">
        <v>32</v>
      </c>
      <c r="H314" t="s">
        <v>45</v>
      </c>
      <c r="I314" s="3">
        <v>4991.59</v>
      </c>
      <c r="J314" s="4">
        <v>0</v>
      </c>
      <c r="K314" t="s">
        <v>26</v>
      </c>
      <c r="L314">
        <f t="shared" si="8"/>
        <v>4</v>
      </c>
      <c r="M314" t="str">
        <f t="shared" si="9"/>
        <v>35–49</v>
      </c>
    </row>
    <row r="315" spans="1:13">
      <c r="A315" t="s">
        <v>649</v>
      </c>
      <c r="B315" t="s">
        <v>650</v>
      </c>
      <c r="C315">
        <v>70</v>
      </c>
      <c r="D315" t="s">
        <v>19</v>
      </c>
      <c r="E315" s="2">
        <v>45524</v>
      </c>
      <c r="F315" s="2">
        <v>45533</v>
      </c>
      <c r="G315" t="s">
        <v>71</v>
      </c>
      <c r="H315" t="s">
        <v>158</v>
      </c>
      <c r="I315" s="3">
        <v>17095.62</v>
      </c>
      <c r="J315" s="4">
        <v>90</v>
      </c>
      <c r="K315" t="s">
        <v>16</v>
      </c>
      <c r="L315">
        <f t="shared" si="8"/>
        <v>9</v>
      </c>
      <c r="M315" t="str">
        <f t="shared" si="9"/>
        <v>65+</v>
      </c>
    </row>
    <row r="316" spans="1:13">
      <c r="A316" t="s">
        <v>651</v>
      </c>
      <c r="B316" t="s">
        <v>652</v>
      </c>
      <c r="C316">
        <v>64</v>
      </c>
      <c r="D316" t="s">
        <v>13</v>
      </c>
      <c r="E316" s="2">
        <v>45887</v>
      </c>
      <c r="F316" s="2">
        <v>45889</v>
      </c>
      <c r="G316" t="s">
        <v>24</v>
      </c>
      <c r="H316" t="s">
        <v>205</v>
      </c>
      <c r="I316" s="3">
        <v>4730.04</v>
      </c>
      <c r="J316" s="4">
        <v>80</v>
      </c>
      <c r="K316" t="s">
        <v>16</v>
      </c>
      <c r="L316">
        <f t="shared" si="8"/>
        <v>2</v>
      </c>
      <c r="M316" t="str">
        <f t="shared" si="9"/>
        <v>50–64</v>
      </c>
    </row>
    <row r="317" spans="1:13">
      <c r="A317" t="s">
        <v>653</v>
      </c>
      <c r="B317" t="s">
        <v>526</v>
      </c>
      <c r="C317">
        <v>56</v>
      </c>
      <c r="D317" t="s">
        <v>13</v>
      </c>
      <c r="E317" s="2">
        <v>45559</v>
      </c>
      <c r="F317" s="2">
        <v>45566</v>
      </c>
      <c r="G317" t="s">
        <v>32</v>
      </c>
      <c r="H317" t="s">
        <v>33</v>
      </c>
      <c r="I317" s="3">
        <v>10303.59</v>
      </c>
      <c r="J317" s="4">
        <v>70</v>
      </c>
      <c r="K317" t="s">
        <v>21</v>
      </c>
      <c r="L317">
        <f t="shared" si="8"/>
        <v>7</v>
      </c>
      <c r="M317" t="str">
        <f t="shared" si="9"/>
        <v>50–64</v>
      </c>
    </row>
    <row r="318" spans="1:13">
      <c r="A318" t="s">
        <v>654</v>
      </c>
      <c r="B318" t="s">
        <v>655</v>
      </c>
      <c r="C318">
        <v>56</v>
      </c>
      <c r="D318" t="s">
        <v>13</v>
      </c>
      <c r="E318" s="2">
        <v>45447</v>
      </c>
      <c r="F318" s="2">
        <v>45453</v>
      </c>
      <c r="G318" t="s">
        <v>32</v>
      </c>
      <c r="H318" t="s">
        <v>115</v>
      </c>
      <c r="I318" s="3">
        <v>7120.81</v>
      </c>
      <c r="J318" s="4">
        <v>80</v>
      </c>
      <c r="K318" t="s">
        <v>26</v>
      </c>
      <c r="L318">
        <f t="shared" si="8"/>
        <v>6</v>
      </c>
      <c r="M318" t="str">
        <f t="shared" si="9"/>
        <v>50–64</v>
      </c>
    </row>
    <row r="319" spans="1:13">
      <c r="A319" t="s">
        <v>656</v>
      </c>
      <c r="B319" t="s">
        <v>652</v>
      </c>
      <c r="C319">
        <v>38</v>
      </c>
      <c r="D319" t="s">
        <v>13</v>
      </c>
      <c r="E319" s="2">
        <v>45850</v>
      </c>
      <c r="F319" s="2">
        <v>45851</v>
      </c>
      <c r="G319" t="s">
        <v>24</v>
      </c>
      <c r="H319" t="s">
        <v>42</v>
      </c>
      <c r="I319" s="3">
        <v>1418.29</v>
      </c>
      <c r="J319" s="4">
        <v>80</v>
      </c>
      <c r="K319" t="s">
        <v>16</v>
      </c>
      <c r="L319">
        <f t="shared" si="8"/>
        <v>1</v>
      </c>
      <c r="M319" t="str">
        <f t="shared" si="9"/>
        <v>35–49</v>
      </c>
    </row>
    <row r="320" spans="1:13">
      <c r="A320" t="s">
        <v>657</v>
      </c>
      <c r="B320" t="s">
        <v>658</v>
      </c>
      <c r="C320">
        <v>77</v>
      </c>
      <c r="D320" t="s">
        <v>13</v>
      </c>
      <c r="E320" s="2">
        <v>45405</v>
      </c>
      <c r="F320" s="2">
        <v>45408</v>
      </c>
      <c r="G320" t="s">
        <v>24</v>
      </c>
      <c r="H320" t="s">
        <v>222</v>
      </c>
      <c r="I320" s="3">
        <v>4818.3999999999996</v>
      </c>
      <c r="J320" s="4">
        <v>60</v>
      </c>
      <c r="K320" t="s">
        <v>16</v>
      </c>
      <c r="L320">
        <f t="shared" si="8"/>
        <v>3</v>
      </c>
      <c r="M320" t="str">
        <f t="shared" si="9"/>
        <v>65+</v>
      </c>
    </row>
    <row r="321" spans="1:13">
      <c r="A321" t="s">
        <v>659</v>
      </c>
      <c r="B321" t="s">
        <v>147</v>
      </c>
      <c r="C321">
        <v>51</v>
      </c>
      <c r="D321" t="s">
        <v>13</v>
      </c>
      <c r="E321" s="2">
        <v>45343</v>
      </c>
      <c r="F321" s="2">
        <v>45344</v>
      </c>
      <c r="G321" t="s">
        <v>24</v>
      </c>
      <c r="H321" t="s">
        <v>25</v>
      </c>
      <c r="I321" s="3">
        <v>1333.29</v>
      </c>
      <c r="J321" s="4">
        <v>70</v>
      </c>
      <c r="K321" t="s">
        <v>16</v>
      </c>
      <c r="L321">
        <f t="shared" si="8"/>
        <v>1</v>
      </c>
      <c r="M321" t="str">
        <f t="shared" si="9"/>
        <v>50–64</v>
      </c>
    </row>
    <row r="322" spans="1:13">
      <c r="A322" t="s">
        <v>660</v>
      </c>
      <c r="B322" t="s">
        <v>661</v>
      </c>
      <c r="C322">
        <v>34</v>
      </c>
      <c r="D322" t="s">
        <v>19</v>
      </c>
      <c r="E322" s="2">
        <v>45743</v>
      </c>
      <c r="F322" s="2">
        <v>45744</v>
      </c>
      <c r="G322" t="s">
        <v>24</v>
      </c>
      <c r="H322" t="s">
        <v>222</v>
      </c>
      <c r="I322" s="3">
        <v>1437.43</v>
      </c>
      <c r="J322" s="4">
        <v>100</v>
      </c>
      <c r="K322" t="s">
        <v>16</v>
      </c>
      <c r="L322">
        <f t="shared" si="8"/>
        <v>1</v>
      </c>
      <c r="M322" t="str">
        <f t="shared" si="9"/>
        <v>18–34</v>
      </c>
    </row>
    <row r="323" spans="1:13">
      <c r="A323" t="s">
        <v>662</v>
      </c>
      <c r="B323" t="s">
        <v>663</v>
      </c>
      <c r="C323">
        <v>64</v>
      </c>
      <c r="D323" t="s">
        <v>13</v>
      </c>
      <c r="E323" s="2">
        <v>45819</v>
      </c>
      <c r="F323" s="2">
        <v>45822</v>
      </c>
      <c r="G323" t="s">
        <v>32</v>
      </c>
      <c r="H323" t="s">
        <v>88</v>
      </c>
      <c r="I323" s="3">
        <v>2608.29</v>
      </c>
      <c r="J323" s="4">
        <v>0</v>
      </c>
      <c r="K323" t="s">
        <v>16</v>
      </c>
      <c r="L323">
        <f t="shared" ref="L323:L386" si="10">F323-E323</f>
        <v>3</v>
      </c>
      <c r="M323" t="str">
        <f t="shared" ref="M323:M386" si="11">IF(C323&lt;=17,"0–17",IF(C323&lt;=34,"18–34",IF(C323&lt;=49,"35–49",IF(C323&lt;=64,"50–64","65+"))))</f>
        <v>50–64</v>
      </c>
    </row>
    <row r="324" spans="1:13">
      <c r="A324" t="s">
        <v>664</v>
      </c>
      <c r="B324" t="s">
        <v>665</v>
      </c>
      <c r="C324">
        <v>8</v>
      </c>
      <c r="D324" t="s">
        <v>19</v>
      </c>
      <c r="E324" s="2">
        <v>45426</v>
      </c>
      <c r="F324" s="2">
        <v>45430</v>
      </c>
      <c r="G324" t="s">
        <v>50</v>
      </c>
      <c r="H324" t="s">
        <v>131</v>
      </c>
      <c r="I324" s="3">
        <v>6107.32</v>
      </c>
      <c r="J324" s="4">
        <v>80</v>
      </c>
      <c r="K324" t="s">
        <v>16</v>
      </c>
      <c r="L324">
        <f t="shared" si="10"/>
        <v>4</v>
      </c>
      <c r="M324" t="str">
        <f t="shared" si="11"/>
        <v>0–17</v>
      </c>
    </row>
    <row r="325" spans="1:13">
      <c r="A325" t="s">
        <v>666</v>
      </c>
      <c r="B325" t="s">
        <v>667</v>
      </c>
      <c r="C325">
        <v>5</v>
      </c>
      <c r="D325" t="s">
        <v>19</v>
      </c>
      <c r="E325" s="2">
        <v>45359</v>
      </c>
      <c r="F325" s="2">
        <v>45360</v>
      </c>
      <c r="G325" t="s">
        <v>50</v>
      </c>
      <c r="H325" t="s">
        <v>121</v>
      </c>
      <c r="I325" s="3">
        <v>763.74</v>
      </c>
      <c r="J325" s="4">
        <v>90</v>
      </c>
      <c r="K325" t="s">
        <v>21</v>
      </c>
      <c r="L325">
        <f t="shared" si="10"/>
        <v>1</v>
      </c>
      <c r="M325" t="str">
        <f t="shared" si="11"/>
        <v>0–17</v>
      </c>
    </row>
    <row r="326" spans="1:13">
      <c r="A326" t="s">
        <v>668</v>
      </c>
      <c r="B326" t="s">
        <v>669</v>
      </c>
      <c r="C326">
        <v>3</v>
      </c>
      <c r="D326" t="s">
        <v>19</v>
      </c>
      <c r="E326" s="2">
        <v>45833</v>
      </c>
      <c r="F326" s="2">
        <v>45838</v>
      </c>
      <c r="G326" t="s">
        <v>50</v>
      </c>
      <c r="H326" t="s">
        <v>124</v>
      </c>
      <c r="I326" s="3">
        <v>8208.35</v>
      </c>
      <c r="J326" s="4">
        <v>0</v>
      </c>
      <c r="K326" t="s">
        <v>26</v>
      </c>
      <c r="L326">
        <f t="shared" si="10"/>
        <v>5</v>
      </c>
      <c r="M326" t="str">
        <f t="shared" si="11"/>
        <v>0–17</v>
      </c>
    </row>
    <row r="327" spans="1:13">
      <c r="A327" t="s">
        <v>670</v>
      </c>
      <c r="B327" t="s">
        <v>671</v>
      </c>
      <c r="C327">
        <v>26</v>
      </c>
      <c r="D327" t="s">
        <v>19</v>
      </c>
      <c r="E327" s="2">
        <v>45484</v>
      </c>
      <c r="F327" s="2">
        <v>45498</v>
      </c>
      <c r="G327" t="s">
        <v>61</v>
      </c>
      <c r="H327" t="s">
        <v>134</v>
      </c>
      <c r="I327" s="3">
        <v>20575.84</v>
      </c>
      <c r="J327" s="4">
        <v>80</v>
      </c>
      <c r="K327" t="s">
        <v>21</v>
      </c>
      <c r="L327">
        <f t="shared" si="10"/>
        <v>14</v>
      </c>
      <c r="M327" t="str">
        <f t="shared" si="11"/>
        <v>18–34</v>
      </c>
    </row>
    <row r="328" spans="1:13">
      <c r="A328" t="s">
        <v>672</v>
      </c>
      <c r="B328" t="s">
        <v>673</v>
      </c>
      <c r="C328">
        <v>1</v>
      </c>
      <c r="D328" t="s">
        <v>13</v>
      </c>
      <c r="E328" s="2">
        <v>45863</v>
      </c>
      <c r="F328" s="2">
        <v>45866</v>
      </c>
      <c r="G328" t="s">
        <v>50</v>
      </c>
      <c r="H328" t="s">
        <v>118</v>
      </c>
      <c r="I328" s="3">
        <v>5295.19</v>
      </c>
      <c r="J328" s="4">
        <v>90</v>
      </c>
      <c r="K328" t="s">
        <v>16</v>
      </c>
      <c r="L328">
        <f t="shared" si="10"/>
        <v>3</v>
      </c>
      <c r="M328" t="str">
        <f t="shared" si="11"/>
        <v>0–17</v>
      </c>
    </row>
    <row r="329" spans="1:13">
      <c r="A329" t="s">
        <v>674</v>
      </c>
      <c r="B329" t="s">
        <v>675</v>
      </c>
      <c r="C329">
        <v>35</v>
      </c>
      <c r="D329" t="s">
        <v>19</v>
      </c>
      <c r="E329" s="2">
        <v>45973</v>
      </c>
      <c r="F329" s="2">
        <v>45982</v>
      </c>
      <c r="G329" t="s">
        <v>61</v>
      </c>
      <c r="H329" t="s">
        <v>75</v>
      </c>
      <c r="I329" s="3">
        <v>23024.560000000001</v>
      </c>
      <c r="J329" s="4">
        <v>70</v>
      </c>
      <c r="K329" t="s">
        <v>21</v>
      </c>
      <c r="L329">
        <f t="shared" si="10"/>
        <v>9</v>
      </c>
      <c r="M329" t="str">
        <f t="shared" si="11"/>
        <v>35–49</v>
      </c>
    </row>
    <row r="330" spans="1:13">
      <c r="A330" t="s">
        <v>676</v>
      </c>
      <c r="B330" t="s">
        <v>434</v>
      </c>
      <c r="C330">
        <v>33</v>
      </c>
      <c r="D330" t="s">
        <v>19</v>
      </c>
      <c r="E330" s="2">
        <v>45782</v>
      </c>
      <c r="F330" s="2">
        <v>45785</v>
      </c>
      <c r="G330" t="s">
        <v>24</v>
      </c>
      <c r="H330" t="s">
        <v>334</v>
      </c>
      <c r="I330" s="3">
        <v>7452.68</v>
      </c>
      <c r="J330" s="4">
        <v>70</v>
      </c>
      <c r="K330" t="s">
        <v>16</v>
      </c>
      <c r="L330">
        <f t="shared" si="10"/>
        <v>3</v>
      </c>
      <c r="M330" t="str">
        <f t="shared" si="11"/>
        <v>18–34</v>
      </c>
    </row>
    <row r="331" spans="1:13">
      <c r="A331" t="s">
        <v>677</v>
      </c>
      <c r="B331" t="s">
        <v>197</v>
      </c>
      <c r="C331">
        <v>80</v>
      </c>
      <c r="D331" t="s">
        <v>13</v>
      </c>
      <c r="E331" s="2">
        <v>45354</v>
      </c>
      <c r="F331" s="2">
        <v>45362</v>
      </c>
      <c r="G331" t="s">
        <v>71</v>
      </c>
      <c r="H331" t="s">
        <v>238</v>
      </c>
      <c r="I331" s="3">
        <v>10908.13</v>
      </c>
      <c r="J331" s="4">
        <v>60</v>
      </c>
      <c r="K331" t="s">
        <v>16</v>
      </c>
      <c r="L331">
        <f t="shared" si="10"/>
        <v>8</v>
      </c>
      <c r="M331" t="str">
        <f t="shared" si="11"/>
        <v>65+</v>
      </c>
    </row>
    <row r="332" spans="1:13">
      <c r="A332" t="s">
        <v>678</v>
      </c>
      <c r="B332" t="s">
        <v>47</v>
      </c>
      <c r="C332">
        <v>27</v>
      </c>
      <c r="D332" t="s">
        <v>13</v>
      </c>
      <c r="E332" s="2">
        <v>45405</v>
      </c>
      <c r="F332" s="2">
        <v>45411</v>
      </c>
      <c r="G332" t="s">
        <v>32</v>
      </c>
      <c r="H332" t="s">
        <v>115</v>
      </c>
      <c r="I332" s="3">
        <v>7501.37</v>
      </c>
      <c r="J332" s="4">
        <v>70</v>
      </c>
      <c r="K332" t="s">
        <v>26</v>
      </c>
      <c r="L332">
        <f t="shared" si="10"/>
        <v>6</v>
      </c>
      <c r="M332" t="str">
        <f t="shared" si="11"/>
        <v>18–34</v>
      </c>
    </row>
    <row r="333" spans="1:13">
      <c r="A333" t="s">
        <v>679</v>
      </c>
      <c r="B333" t="s">
        <v>301</v>
      </c>
      <c r="C333">
        <v>61</v>
      </c>
      <c r="D333" t="s">
        <v>19</v>
      </c>
      <c r="E333" s="2">
        <v>45771</v>
      </c>
      <c r="F333" s="2">
        <v>45772</v>
      </c>
      <c r="G333" t="s">
        <v>24</v>
      </c>
      <c r="H333" t="s">
        <v>334</v>
      </c>
      <c r="I333" s="3">
        <v>1264.69</v>
      </c>
      <c r="J333" s="4">
        <v>90</v>
      </c>
      <c r="K333" t="s">
        <v>16</v>
      </c>
      <c r="L333">
        <f t="shared" si="10"/>
        <v>1</v>
      </c>
      <c r="M333" t="str">
        <f t="shared" si="11"/>
        <v>50–64</v>
      </c>
    </row>
    <row r="334" spans="1:13">
      <c r="A334" t="s">
        <v>680</v>
      </c>
      <c r="B334" t="s">
        <v>681</v>
      </c>
      <c r="C334">
        <v>54</v>
      </c>
      <c r="D334" t="s">
        <v>19</v>
      </c>
      <c r="E334" s="2">
        <v>45420</v>
      </c>
      <c r="F334" s="2">
        <v>45431</v>
      </c>
      <c r="G334" t="s">
        <v>61</v>
      </c>
      <c r="H334" t="s">
        <v>75</v>
      </c>
      <c r="I334" s="3">
        <v>26730.35</v>
      </c>
      <c r="J334" s="4">
        <v>0</v>
      </c>
      <c r="K334" t="s">
        <v>21</v>
      </c>
      <c r="L334">
        <f t="shared" si="10"/>
        <v>11</v>
      </c>
      <c r="M334" t="str">
        <f t="shared" si="11"/>
        <v>50–64</v>
      </c>
    </row>
    <row r="335" spans="1:13">
      <c r="A335" t="s">
        <v>682</v>
      </c>
      <c r="B335" t="s">
        <v>469</v>
      </c>
      <c r="C335">
        <v>57</v>
      </c>
      <c r="D335" t="s">
        <v>19</v>
      </c>
      <c r="E335" s="2">
        <v>45746</v>
      </c>
      <c r="F335" s="2">
        <v>45749</v>
      </c>
      <c r="G335" t="s">
        <v>71</v>
      </c>
      <c r="H335" t="s">
        <v>95</v>
      </c>
      <c r="I335" s="3">
        <v>6655.97</v>
      </c>
      <c r="J335" s="4">
        <v>60</v>
      </c>
      <c r="K335" t="s">
        <v>21</v>
      </c>
      <c r="L335">
        <f t="shared" si="10"/>
        <v>3</v>
      </c>
      <c r="M335" t="str">
        <f t="shared" si="11"/>
        <v>50–64</v>
      </c>
    </row>
    <row r="336" spans="1:13">
      <c r="A336" t="s">
        <v>683</v>
      </c>
      <c r="B336" t="s">
        <v>333</v>
      </c>
      <c r="C336">
        <v>63</v>
      </c>
      <c r="D336" t="s">
        <v>13</v>
      </c>
      <c r="E336" s="2">
        <v>45354</v>
      </c>
      <c r="F336" s="2">
        <v>45362</v>
      </c>
      <c r="G336" t="s">
        <v>14</v>
      </c>
      <c r="H336" t="s">
        <v>112</v>
      </c>
      <c r="I336" s="3">
        <v>11856.84</v>
      </c>
      <c r="J336" s="4">
        <v>70</v>
      </c>
      <c r="K336" t="s">
        <v>21</v>
      </c>
      <c r="L336">
        <f t="shared" si="10"/>
        <v>8</v>
      </c>
      <c r="M336" t="str">
        <f t="shared" si="11"/>
        <v>50–64</v>
      </c>
    </row>
    <row r="337" spans="1:13">
      <c r="A337" t="s">
        <v>684</v>
      </c>
      <c r="B337" t="s">
        <v>685</v>
      </c>
      <c r="C337">
        <v>45</v>
      </c>
      <c r="D337" t="s">
        <v>13</v>
      </c>
      <c r="E337" s="2">
        <v>45767</v>
      </c>
      <c r="F337" s="2">
        <v>45768</v>
      </c>
      <c r="G337" t="s">
        <v>24</v>
      </c>
      <c r="H337" t="s">
        <v>334</v>
      </c>
      <c r="I337" s="3">
        <v>1625.38</v>
      </c>
      <c r="J337" s="4">
        <v>80</v>
      </c>
      <c r="K337" t="s">
        <v>16</v>
      </c>
      <c r="L337">
        <f t="shared" si="10"/>
        <v>1</v>
      </c>
      <c r="M337" t="str">
        <f t="shared" si="11"/>
        <v>35–49</v>
      </c>
    </row>
    <row r="338" spans="1:13">
      <c r="A338" t="s">
        <v>686</v>
      </c>
      <c r="B338" t="s">
        <v>687</v>
      </c>
      <c r="C338">
        <v>71</v>
      </c>
      <c r="D338" t="s">
        <v>13</v>
      </c>
      <c r="E338" s="2">
        <v>45996</v>
      </c>
      <c r="F338" s="2">
        <v>46002</v>
      </c>
      <c r="G338" t="s">
        <v>14</v>
      </c>
      <c r="H338" t="s">
        <v>39</v>
      </c>
      <c r="I338" s="3">
        <v>10880.84</v>
      </c>
      <c r="J338" s="4">
        <v>80</v>
      </c>
      <c r="K338" t="s">
        <v>16</v>
      </c>
      <c r="L338">
        <f t="shared" si="10"/>
        <v>6</v>
      </c>
      <c r="M338" t="str">
        <f t="shared" si="11"/>
        <v>65+</v>
      </c>
    </row>
    <row r="339" spans="1:13">
      <c r="A339" t="s">
        <v>688</v>
      </c>
      <c r="B339" t="s">
        <v>268</v>
      </c>
      <c r="C339">
        <v>69</v>
      </c>
      <c r="D339" t="s">
        <v>13</v>
      </c>
      <c r="E339" s="2">
        <v>45940</v>
      </c>
      <c r="F339" s="2">
        <v>45941</v>
      </c>
      <c r="G339" t="s">
        <v>32</v>
      </c>
      <c r="H339" t="s">
        <v>115</v>
      </c>
      <c r="I339" s="3">
        <v>1151.51</v>
      </c>
      <c r="J339" s="4">
        <v>90</v>
      </c>
      <c r="K339" t="s">
        <v>21</v>
      </c>
      <c r="L339">
        <f t="shared" si="10"/>
        <v>1</v>
      </c>
      <c r="M339" t="str">
        <f t="shared" si="11"/>
        <v>65+</v>
      </c>
    </row>
    <row r="340" spans="1:13">
      <c r="A340" t="s">
        <v>689</v>
      </c>
      <c r="B340" t="s">
        <v>140</v>
      </c>
      <c r="C340">
        <v>43</v>
      </c>
      <c r="D340" t="s">
        <v>19</v>
      </c>
      <c r="E340" s="2">
        <v>45434</v>
      </c>
      <c r="F340" s="2">
        <v>45441</v>
      </c>
      <c r="G340" t="s">
        <v>14</v>
      </c>
      <c r="H340" t="s">
        <v>39</v>
      </c>
      <c r="I340" s="3">
        <v>13660.38</v>
      </c>
      <c r="J340" s="4">
        <v>50</v>
      </c>
      <c r="K340" t="s">
        <v>21</v>
      </c>
      <c r="L340">
        <f t="shared" si="10"/>
        <v>7</v>
      </c>
      <c r="M340" t="str">
        <f t="shared" si="11"/>
        <v>35–49</v>
      </c>
    </row>
    <row r="341" spans="1:13">
      <c r="A341" t="s">
        <v>690</v>
      </c>
      <c r="B341" t="s">
        <v>464</v>
      </c>
      <c r="C341">
        <v>21</v>
      </c>
      <c r="D341" t="s">
        <v>13</v>
      </c>
      <c r="E341" s="2">
        <v>45672</v>
      </c>
      <c r="F341" s="2">
        <v>45676</v>
      </c>
      <c r="G341" t="s">
        <v>32</v>
      </c>
      <c r="H341" t="s">
        <v>115</v>
      </c>
      <c r="I341" s="3">
        <v>5372.91</v>
      </c>
      <c r="J341" s="4">
        <v>90</v>
      </c>
      <c r="K341" t="s">
        <v>16</v>
      </c>
      <c r="L341">
        <f t="shared" si="10"/>
        <v>4</v>
      </c>
      <c r="M341" t="str">
        <f t="shared" si="11"/>
        <v>18–34</v>
      </c>
    </row>
    <row r="342" spans="1:13">
      <c r="A342" t="s">
        <v>691</v>
      </c>
      <c r="B342" t="s">
        <v>692</v>
      </c>
      <c r="C342">
        <v>16</v>
      </c>
      <c r="D342" t="s">
        <v>13</v>
      </c>
      <c r="E342" s="2">
        <v>45357</v>
      </c>
      <c r="F342" s="2">
        <v>45360</v>
      </c>
      <c r="G342" t="s">
        <v>50</v>
      </c>
      <c r="H342" t="s">
        <v>379</v>
      </c>
      <c r="I342" s="3">
        <v>5108.66</v>
      </c>
      <c r="J342" s="4">
        <v>80</v>
      </c>
      <c r="K342" t="s">
        <v>16</v>
      </c>
      <c r="L342">
        <f t="shared" si="10"/>
        <v>3</v>
      </c>
      <c r="M342" t="str">
        <f t="shared" si="11"/>
        <v>0–17</v>
      </c>
    </row>
    <row r="343" spans="1:13">
      <c r="A343" t="s">
        <v>693</v>
      </c>
      <c r="B343" t="s">
        <v>694</v>
      </c>
      <c r="C343">
        <v>72</v>
      </c>
      <c r="D343" t="s">
        <v>19</v>
      </c>
      <c r="E343" s="2">
        <v>45778</v>
      </c>
      <c r="F343" s="2">
        <v>45781</v>
      </c>
      <c r="G343" t="s">
        <v>24</v>
      </c>
      <c r="H343" t="s">
        <v>222</v>
      </c>
      <c r="I343" s="3">
        <v>4730.3599999999997</v>
      </c>
      <c r="J343" s="4">
        <v>90</v>
      </c>
      <c r="K343" t="s">
        <v>16</v>
      </c>
      <c r="L343">
        <f t="shared" si="10"/>
        <v>3</v>
      </c>
      <c r="M343" t="str">
        <f t="shared" si="11"/>
        <v>65+</v>
      </c>
    </row>
    <row r="344" spans="1:13">
      <c r="A344" t="s">
        <v>695</v>
      </c>
      <c r="B344" t="s">
        <v>696</v>
      </c>
      <c r="C344">
        <v>57</v>
      </c>
      <c r="D344" t="s">
        <v>19</v>
      </c>
      <c r="E344" s="2">
        <v>45670</v>
      </c>
      <c r="F344" s="2">
        <v>45673</v>
      </c>
      <c r="G344" t="s">
        <v>32</v>
      </c>
      <c r="H344" t="s">
        <v>45</v>
      </c>
      <c r="I344" s="3">
        <v>4389.91</v>
      </c>
      <c r="J344" s="4">
        <v>80</v>
      </c>
      <c r="K344" t="s">
        <v>16</v>
      </c>
      <c r="L344">
        <f t="shared" si="10"/>
        <v>3</v>
      </c>
      <c r="M344" t="str">
        <f t="shared" si="11"/>
        <v>50–64</v>
      </c>
    </row>
    <row r="345" spans="1:13">
      <c r="A345" t="s">
        <v>697</v>
      </c>
      <c r="B345" t="s">
        <v>698</v>
      </c>
      <c r="C345">
        <v>39</v>
      </c>
      <c r="D345" t="s">
        <v>19</v>
      </c>
      <c r="E345" s="2">
        <v>45906</v>
      </c>
      <c r="F345" s="2">
        <v>45914</v>
      </c>
      <c r="G345" t="s">
        <v>61</v>
      </c>
      <c r="H345" t="s">
        <v>75</v>
      </c>
      <c r="I345" s="3">
        <v>8536.89</v>
      </c>
      <c r="J345" s="4">
        <v>80</v>
      </c>
      <c r="K345" t="s">
        <v>16</v>
      </c>
      <c r="L345">
        <f t="shared" si="10"/>
        <v>8</v>
      </c>
      <c r="M345" t="str">
        <f t="shared" si="11"/>
        <v>35–49</v>
      </c>
    </row>
    <row r="346" spans="1:13">
      <c r="A346" t="s">
        <v>699</v>
      </c>
      <c r="B346" t="s">
        <v>580</v>
      </c>
      <c r="C346">
        <v>12</v>
      </c>
      <c r="D346" t="s">
        <v>19</v>
      </c>
      <c r="E346" s="2">
        <v>45578</v>
      </c>
      <c r="F346" s="2">
        <v>45583</v>
      </c>
      <c r="G346" t="s">
        <v>50</v>
      </c>
      <c r="H346" t="s">
        <v>131</v>
      </c>
      <c r="I346" s="3">
        <v>3347.44</v>
      </c>
      <c r="J346" s="4">
        <v>0</v>
      </c>
      <c r="K346" t="s">
        <v>26</v>
      </c>
      <c r="L346">
        <f t="shared" si="10"/>
        <v>5</v>
      </c>
      <c r="M346" t="str">
        <f t="shared" si="11"/>
        <v>0–17</v>
      </c>
    </row>
    <row r="347" spans="1:13">
      <c r="A347" t="s">
        <v>700</v>
      </c>
      <c r="B347" t="s">
        <v>701</v>
      </c>
      <c r="C347">
        <v>57</v>
      </c>
      <c r="D347" t="s">
        <v>19</v>
      </c>
      <c r="E347" s="2">
        <v>45937</v>
      </c>
      <c r="F347" s="2">
        <v>45943</v>
      </c>
      <c r="G347" t="s">
        <v>14</v>
      </c>
      <c r="H347" t="s">
        <v>166</v>
      </c>
      <c r="I347" s="3">
        <v>15565.46</v>
      </c>
      <c r="J347" s="4">
        <v>70</v>
      </c>
      <c r="K347" t="s">
        <v>21</v>
      </c>
      <c r="L347">
        <f t="shared" si="10"/>
        <v>6</v>
      </c>
      <c r="M347" t="str">
        <f t="shared" si="11"/>
        <v>50–64</v>
      </c>
    </row>
    <row r="348" spans="1:13">
      <c r="A348" t="s">
        <v>702</v>
      </c>
      <c r="B348" t="s">
        <v>703</v>
      </c>
      <c r="C348">
        <v>52</v>
      </c>
      <c r="D348" t="s">
        <v>13</v>
      </c>
      <c r="E348" s="2">
        <v>45979</v>
      </c>
      <c r="F348" s="2">
        <v>45986</v>
      </c>
      <c r="G348" t="s">
        <v>32</v>
      </c>
      <c r="H348" t="s">
        <v>115</v>
      </c>
      <c r="I348" s="3">
        <v>4507.1400000000003</v>
      </c>
      <c r="J348" s="4">
        <v>80</v>
      </c>
      <c r="K348" t="s">
        <v>26</v>
      </c>
      <c r="L348">
        <f t="shared" si="10"/>
        <v>7</v>
      </c>
      <c r="M348" t="str">
        <f t="shared" si="11"/>
        <v>50–64</v>
      </c>
    </row>
    <row r="349" spans="1:13">
      <c r="A349" t="s">
        <v>704</v>
      </c>
      <c r="B349" t="s">
        <v>705</v>
      </c>
      <c r="C349">
        <v>62</v>
      </c>
      <c r="D349" t="s">
        <v>13</v>
      </c>
      <c r="E349" s="2">
        <v>45848</v>
      </c>
      <c r="F349" s="2">
        <v>45855</v>
      </c>
      <c r="G349" t="s">
        <v>14</v>
      </c>
      <c r="H349" t="s">
        <v>15</v>
      </c>
      <c r="I349" s="3">
        <v>10788.07</v>
      </c>
      <c r="J349" s="4">
        <v>70</v>
      </c>
      <c r="K349" t="s">
        <v>21</v>
      </c>
      <c r="L349">
        <f t="shared" si="10"/>
        <v>7</v>
      </c>
      <c r="M349" t="str">
        <f t="shared" si="11"/>
        <v>50–64</v>
      </c>
    </row>
    <row r="350" spans="1:13">
      <c r="A350" t="s">
        <v>706</v>
      </c>
      <c r="B350" t="s">
        <v>707</v>
      </c>
      <c r="C350">
        <v>46</v>
      </c>
      <c r="D350" t="s">
        <v>13</v>
      </c>
      <c r="E350" s="2">
        <v>45431</v>
      </c>
      <c r="F350" s="2">
        <v>45440</v>
      </c>
      <c r="G350" t="s">
        <v>14</v>
      </c>
      <c r="H350" t="s">
        <v>20</v>
      </c>
      <c r="I350" s="3">
        <v>26034.080000000002</v>
      </c>
      <c r="J350" s="4">
        <v>80</v>
      </c>
      <c r="K350" t="s">
        <v>16</v>
      </c>
      <c r="L350">
        <f t="shared" si="10"/>
        <v>9</v>
      </c>
      <c r="M350" t="str">
        <f t="shared" si="11"/>
        <v>35–49</v>
      </c>
    </row>
    <row r="351" spans="1:13">
      <c r="A351" t="s">
        <v>708</v>
      </c>
      <c r="B351" t="s">
        <v>709</v>
      </c>
      <c r="C351">
        <v>44</v>
      </c>
      <c r="D351" t="s">
        <v>13</v>
      </c>
      <c r="E351" s="2">
        <v>45525</v>
      </c>
      <c r="F351" s="2">
        <v>45533</v>
      </c>
      <c r="G351" t="s">
        <v>14</v>
      </c>
      <c r="H351" t="s">
        <v>112</v>
      </c>
      <c r="I351" s="3">
        <v>10409.19</v>
      </c>
      <c r="J351" s="4">
        <v>90</v>
      </c>
      <c r="K351" t="s">
        <v>26</v>
      </c>
      <c r="L351">
        <f t="shared" si="10"/>
        <v>8</v>
      </c>
      <c r="M351" t="str">
        <f t="shared" si="11"/>
        <v>35–49</v>
      </c>
    </row>
    <row r="352" spans="1:13">
      <c r="A352" t="s">
        <v>710</v>
      </c>
      <c r="B352" t="s">
        <v>711</v>
      </c>
      <c r="C352">
        <v>62</v>
      </c>
      <c r="D352" t="s">
        <v>19</v>
      </c>
      <c r="E352" s="2">
        <v>45506</v>
      </c>
      <c r="F352" s="2">
        <v>45507</v>
      </c>
      <c r="G352" t="s">
        <v>24</v>
      </c>
      <c r="H352" t="s">
        <v>334</v>
      </c>
      <c r="I352" s="3">
        <v>1428.8</v>
      </c>
      <c r="J352" s="4">
        <v>80</v>
      </c>
      <c r="K352" t="s">
        <v>21</v>
      </c>
      <c r="L352">
        <f t="shared" si="10"/>
        <v>1</v>
      </c>
      <c r="M352" t="str">
        <f t="shared" si="11"/>
        <v>50–64</v>
      </c>
    </row>
    <row r="353" spans="1:13">
      <c r="A353" t="s">
        <v>712</v>
      </c>
      <c r="B353" t="s">
        <v>713</v>
      </c>
      <c r="C353">
        <v>73</v>
      </c>
      <c r="D353" t="s">
        <v>19</v>
      </c>
      <c r="E353" s="2">
        <v>45799</v>
      </c>
      <c r="F353" s="2">
        <v>45802</v>
      </c>
      <c r="G353" t="s">
        <v>24</v>
      </c>
      <c r="H353" t="s">
        <v>205</v>
      </c>
      <c r="I353" s="3">
        <v>6491.42</v>
      </c>
      <c r="J353" s="4">
        <v>0</v>
      </c>
      <c r="K353" t="s">
        <v>26</v>
      </c>
      <c r="L353">
        <f t="shared" si="10"/>
        <v>3</v>
      </c>
      <c r="M353" t="str">
        <f t="shared" si="11"/>
        <v>65+</v>
      </c>
    </row>
    <row r="354" spans="1:13">
      <c r="A354" t="s">
        <v>714</v>
      </c>
      <c r="B354" t="s">
        <v>715</v>
      </c>
      <c r="C354">
        <v>80</v>
      </c>
      <c r="D354" t="s">
        <v>19</v>
      </c>
      <c r="E354" s="2">
        <v>45736</v>
      </c>
      <c r="F354" s="2">
        <v>45739</v>
      </c>
      <c r="G354" t="s">
        <v>24</v>
      </c>
      <c r="H354" t="s">
        <v>222</v>
      </c>
      <c r="I354" s="3">
        <v>2816.11</v>
      </c>
      <c r="J354" s="4">
        <v>80</v>
      </c>
      <c r="K354" t="s">
        <v>26</v>
      </c>
      <c r="L354">
        <f t="shared" si="10"/>
        <v>3</v>
      </c>
      <c r="M354" t="str">
        <f t="shared" si="11"/>
        <v>65+</v>
      </c>
    </row>
    <row r="355" spans="1:13">
      <c r="A355" t="s">
        <v>716</v>
      </c>
      <c r="B355" t="s">
        <v>197</v>
      </c>
      <c r="C355">
        <v>12</v>
      </c>
      <c r="D355" t="s">
        <v>13</v>
      </c>
      <c r="E355" s="2">
        <v>45989</v>
      </c>
      <c r="F355" s="2">
        <v>45994</v>
      </c>
      <c r="G355" t="s">
        <v>50</v>
      </c>
      <c r="H355" t="s">
        <v>121</v>
      </c>
      <c r="I355" s="3">
        <v>6337.74</v>
      </c>
      <c r="J355" s="4">
        <v>60</v>
      </c>
      <c r="K355" t="s">
        <v>21</v>
      </c>
      <c r="L355">
        <f t="shared" si="10"/>
        <v>5</v>
      </c>
      <c r="M355" t="str">
        <f t="shared" si="11"/>
        <v>0–17</v>
      </c>
    </row>
    <row r="356" spans="1:13">
      <c r="A356" t="s">
        <v>717</v>
      </c>
      <c r="B356" t="s">
        <v>718</v>
      </c>
      <c r="C356">
        <v>48</v>
      </c>
      <c r="D356" t="s">
        <v>19</v>
      </c>
      <c r="E356" s="2">
        <v>45398</v>
      </c>
      <c r="F356" s="2">
        <v>45405</v>
      </c>
      <c r="G356" t="s">
        <v>32</v>
      </c>
      <c r="H356" t="s">
        <v>88</v>
      </c>
      <c r="I356" s="3">
        <v>8162.88</v>
      </c>
      <c r="J356" s="4">
        <v>60</v>
      </c>
      <c r="K356" t="s">
        <v>16</v>
      </c>
      <c r="L356">
        <f t="shared" si="10"/>
        <v>7</v>
      </c>
      <c r="M356" t="str">
        <f t="shared" si="11"/>
        <v>35–49</v>
      </c>
    </row>
    <row r="357" spans="1:13">
      <c r="A357" t="s">
        <v>719</v>
      </c>
      <c r="B357" t="s">
        <v>720</v>
      </c>
      <c r="C357">
        <v>69</v>
      </c>
      <c r="D357" t="s">
        <v>13</v>
      </c>
      <c r="E357" s="2">
        <v>45706</v>
      </c>
      <c r="F357" s="2">
        <v>45708</v>
      </c>
      <c r="G357" t="s">
        <v>32</v>
      </c>
      <c r="H357" t="s">
        <v>36</v>
      </c>
      <c r="I357" s="3">
        <v>2495.13</v>
      </c>
      <c r="J357" s="4">
        <v>70</v>
      </c>
      <c r="K357" t="s">
        <v>16</v>
      </c>
      <c r="L357">
        <f t="shared" si="10"/>
        <v>2</v>
      </c>
      <c r="M357" t="str">
        <f t="shared" si="11"/>
        <v>65+</v>
      </c>
    </row>
    <row r="358" spans="1:13">
      <c r="A358" t="s">
        <v>721</v>
      </c>
      <c r="B358" t="s">
        <v>722</v>
      </c>
      <c r="C358">
        <v>16</v>
      </c>
      <c r="D358" t="s">
        <v>19</v>
      </c>
      <c r="E358" s="2">
        <v>45454</v>
      </c>
      <c r="F358" s="2">
        <v>45455</v>
      </c>
      <c r="G358" t="s">
        <v>50</v>
      </c>
      <c r="H358" t="s">
        <v>121</v>
      </c>
      <c r="I358" s="3">
        <v>1054.1400000000001</v>
      </c>
      <c r="J358" s="4">
        <v>50</v>
      </c>
      <c r="K358" t="s">
        <v>21</v>
      </c>
      <c r="L358">
        <f t="shared" si="10"/>
        <v>1</v>
      </c>
      <c r="M358" t="str">
        <f t="shared" si="11"/>
        <v>0–17</v>
      </c>
    </row>
    <row r="359" spans="1:13">
      <c r="A359" t="s">
        <v>723</v>
      </c>
      <c r="B359" t="s">
        <v>724</v>
      </c>
      <c r="C359">
        <v>73</v>
      </c>
      <c r="D359" t="s">
        <v>19</v>
      </c>
      <c r="E359" s="2">
        <v>45746</v>
      </c>
      <c r="F359" s="2">
        <v>45747</v>
      </c>
      <c r="G359" t="s">
        <v>24</v>
      </c>
      <c r="H359" t="s">
        <v>83</v>
      </c>
      <c r="I359" s="3">
        <v>1251.25</v>
      </c>
      <c r="J359" s="4">
        <v>80</v>
      </c>
      <c r="K359" t="s">
        <v>16</v>
      </c>
      <c r="L359">
        <f t="shared" si="10"/>
        <v>1</v>
      </c>
      <c r="M359" t="str">
        <f t="shared" si="11"/>
        <v>65+</v>
      </c>
    </row>
    <row r="360" spans="1:13">
      <c r="A360" t="s">
        <v>725</v>
      </c>
      <c r="B360" t="s">
        <v>726</v>
      </c>
      <c r="C360">
        <v>53</v>
      </c>
      <c r="D360" t="s">
        <v>13</v>
      </c>
      <c r="E360" s="2">
        <v>45736</v>
      </c>
      <c r="F360" s="2">
        <v>45742</v>
      </c>
      <c r="G360" t="s">
        <v>14</v>
      </c>
      <c r="H360" t="s">
        <v>112</v>
      </c>
      <c r="I360" s="3">
        <v>16598.080000000002</v>
      </c>
      <c r="J360" s="4">
        <v>80</v>
      </c>
      <c r="K360" t="s">
        <v>16</v>
      </c>
      <c r="L360">
        <f t="shared" si="10"/>
        <v>6</v>
      </c>
      <c r="M360" t="str">
        <f t="shared" si="11"/>
        <v>50–64</v>
      </c>
    </row>
    <row r="361" spans="1:13">
      <c r="A361" t="s">
        <v>727</v>
      </c>
      <c r="B361" t="s">
        <v>728</v>
      </c>
      <c r="C361">
        <v>46</v>
      </c>
      <c r="D361" t="s">
        <v>19</v>
      </c>
      <c r="E361" s="2">
        <v>45569</v>
      </c>
      <c r="F361" s="2">
        <v>45573</v>
      </c>
      <c r="G361" t="s">
        <v>32</v>
      </c>
      <c r="H361" t="s">
        <v>235</v>
      </c>
      <c r="I361" s="3">
        <v>4875.57</v>
      </c>
      <c r="J361" s="4">
        <v>90</v>
      </c>
      <c r="K361" t="s">
        <v>16</v>
      </c>
      <c r="L361">
        <f t="shared" si="10"/>
        <v>4</v>
      </c>
      <c r="M361" t="str">
        <f t="shared" si="11"/>
        <v>35–49</v>
      </c>
    </row>
    <row r="362" spans="1:13">
      <c r="A362" t="s">
        <v>729</v>
      </c>
      <c r="B362" t="s">
        <v>730</v>
      </c>
      <c r="C362">
        <v>53</v>
      </c>
      <c r="D362" t="s">
        <v>13</v>
      </c>
      <c r="E362" s="2">
        <v>45993</v>
      </c>
      <c r="F362" s="2">
        <v>45998</v>
      </c>
      <c r="G362" t="s">
        <v>71</v>
      </c>
      <c r="H362" t="s">
        <v>238</v>
      </c>
      <c r="I362" s="3">
        <v>12181.3</v>
      </c>
      <c r="J362" s="4">
        <v>50</v>
      </c>
      <c r="K362" t="s">
        <v>16</v>
      </c>
      <c r="L362">
        <f t="shared" si="10"/>
        <v>5</v>
      </c>
      <c r="M362" t="str">
        <f t="shared" si="11"/>
        <v>50–64</v>
      </c>
    </row>
    <row r="363" spans="1:13">
      <c r="A363" t="s">
        <v>731</v>
      </c>
      <c r="B363" t="s">
        <v>732</v>
      </c>
      <c r="C363">
        <v>59</v>
      </c>
      <c r="D363" t="s">
        <v>13</v>
      </c>
      <c r="E363" s="2">
        <v>45862</v>
      </c>
      <c r="F363" s="2">
        <v>45863</v>
      </c>
      <c r="G363" t="s">
        <v>24</v>
      </c>
      <c r="H363" t="s">
        <v>205</v>
      </c>
      <c r="I363" s="3">
        <v>2262.27</v>
      </c>
      <c r="J363" s="4">
        <v>100</v>
      </c>
      <c r="K363" t="s">
        <v>16</v>
      </c>
      <c r="L363">
        <f t="shared" si="10"/>
        <v>1</v>
      </c>
      <c r="M363" t="str">
        <f t="shared" si="11"/>
        <v>50–64</v>
      </c>
    </row>
    <row r="364" spans="1:13">
      <c r="A364" t="s">
        <v>733</v>
      </c>
      <c r="B364" t="s">
        <v>734</v>
      </c>
      <c r="C364">
        <v>77</v>
      </c>
      <c r="D364" t="s">
        <v>13</v>
      </c>
      <c r="E364" s="2">
        <v>45787</v>
      </c>
      <c r="F364" s="2">
        <v>45793</v>
      </c>
      <c r="G364" t="s">
        <v>71</v>
      </c>
      <c r="H364" t="s">
        <v>158</v>
      </c>
      <c r="I364" s="3">
        <v>15249.23</v>
      </c>
      <c r="J364" s="4">
        <v>60</v>
      </c>
      <c r="K364" t="s">
        <v>16</v>
      </c>
      <c r="L364">
        <f t="shared" si="10"/>
        <v>6</v>
      </c>
      <c r="M364" t="str">
        <f t="shared" si="11"/>
        <v>65+</v>
      </c>
    </row>
    <row r="365" spans="1:13">
      <c r="A365" t="s">
        <v>735</v>
      </c>
      <c r="B365" t="s">
        <v>736</v>
      </c>
      <c r="C365">
        <v>21</v>
      </c>
      <c r="D365" t="s">
        <v>19</v>
      </c>
      <c r="E365" s="2">
        <v>45325</v>
      </c>
      <c r="F365" s="2">
        <v>45328</v>
      </c>
      <c r="G365" t="s">
        <v>32</v>
      </c>
      <c r="H365" t="s">
        <v>88</v>
      </c>
      <c r="I365" s="3">
        <v>3947.95</v>
      </c>
      <c r="J365" s="4">
        <v>80</v>
      </c>
      <c r="K365" t="s">
        <v>16</v>
      </c>
      <c r="L365">
        <f t="shared" si="10"/>
        <v>3</v>
      </c>
      <c r="M365" t="str">
        <f t="shared" si="11"/>
        <v>18–34</v>
      </c>
    </row>
    <row r="366" spans="1:13">
      <c r="A366" t="s">
        <v>737</v>
      </c>
      <c r="B366" t="s">
        <v>738</v>
      </c>
      <c r="C366">
        <v>59</v>
      </c>
      <c r="D366" t="s">
        <v>13</v>
      </c>
      <c r="E366" s="2">
        <v>45592</v>
      </c>
      <c r="F366" s="2">
        <v>45605</v>
      </c>
      <c r="G366" t="s">
        <v>61</v>
      </c>
      <c r="H366" t="s">
        <v>62</v>
      </c>
      <c r="I366" s="3">
        <v>35549.129999999997</v>
      </c>
      <c r="J366" s="4">
        <v>100</v>
      </c>
      <c r="K366" t="s">
        <v>21</v>
      </c>
      <c r="L366">
        <f t="shared" si="10"/>
        <v>13</v>
      </c>
      <c r="M366" t="str">
        <f t="shared" si="11"/>
        <v>50–64</v>
      </c>
    </row>
    <row r="367" spans="1:13">
      <c r="A367" t="s">
        <v>739</v>
      </c>
      <c r="B367" t="s">
        <v>740</v>
      </c>
      <c r="C367">
        <v>2</v>
      </c>
      <c r="D367" t="s">
        <v>13</v>
      </c>
      <c r="E367" s="2">
        <v>45692</v>
      </c>
      <c r="F367" s="2">
        <v>45696</v>
      </c>
      <c r="G367" t="s">
        <v>50</v>
      </c>
      <c r="H367" t="s">
        <v>121</v>
      </c>
      <c r="I367" s="3">
        <v>7038.14</v>
      </c>
      <c r="J367" s="4">
        <v>70</v>
      </c>
      <c r="K367" t="s">
        <v>26</v>
      </c>
      <c r="L367">
        <f t="shared" si="10"/>
        <v>4</v>
      </c>
      <c r="M367" t="str">
        <f t="shared" si="11"/>
        <v>0–17</v>
      </c>
    </row>
    <row r="368" spans="1:13">
      <c r="A368" t="s">
        <v>741</v>
      </c>
      <c r="B368" t="s">
        <v>742</v>
      </c>
      <c r="C368">
        <v>77</v>
      </c>
      <c r="D368" t="s">
        <v>13</v>
      </c>
      <c r="E368" s="2">
        <v>45971</v>
      </c>
      <c r="F368" s="2">
        <v>45980</v>
      </c>
      <c r="G368" t="s">
        <v>14</v>
      </c>
      <c r="H368" t="s">
        <v>166</v>
      </c>
      <c r="I368" s="3">
        <v>14877.84</v>
      </c>
      <c r="J368" s="4">
        <v>100</v>
      </c>
      <c r="K368" t="s">
        <v>21</v>
      </c>
      <c r="L368">
        <f t="shared" si="10"/>
        <v>9</v>
      </c>
      <c r="M368" t="str">
        <f t="shared" si="11"/>
        <v>65+</v>
      </c>
    </row>
    <row r="369" spans="1:13">
      <c r="A369" t="s">
        <v>743</v>
      </c>
      <c r="B369" t="s">
        <v>147</v>
      </c>
      <c r="C369">
        <v>30</v>
      </c>
      <c r="D369" t="s">
        <v>13</v>
      </c>
      <c r="E369" s="2">
        <v>45845</v>
      </c>
      <c r="F369" s="2">
        <v>45856</v>
      </c>
      <c r="G369" t="s">
        <v>61</v>
      </c>
      <c r="H369" t="s">
        <v>62</v>
      </c>
      <c r="I369" s="3">
        <v>14678.51</v>
      </c>
      <c r="J369" s="4">
        <v>60</v>
      </c>
      <c r="K369" t="s">
        <v>21</v>
      </c>
      <c r="L369">
        <f t="shared" si="10"/>
        <v>11</v>
      </c>
      <c r="M369" t="str">
        <f t="shared" si="11"/>
        <v>18–34</v>
      </c>
    </row>
    <row r="370" spans="1:13">
      <c r="A370" t="s">
        <v>744</v>
      </c>
      <c r="B370" t="s">
        <v>745</v>
      </c>
      <c r="C370">
        <v>42</v>
      </c>
      <c r="D370" t="s">
        <v>13</v>
      </c>
      <c r="E370" s="2">
        <v>46002</v>
      </c>
      <c r="F370" s="2">
        <v>46004</v>
      </c>
      <c r="G370" t="s">
        <v>24</v>
      </c>
      <c r="H370" t="s">
        <v>205</v>
      </c>
      <c r="I370" s="3">
        <v>3466.32</v>
      </c>
      <c r="J370" s="4">
        <v>70</v>
      </c>
      <c r="K370" t="s">
        <v>16</v>
      </c>
      <c r="L370">
        <f t="shared" si="10"/>
        <v>2</v>
      </c>
      <c r="M370" t="str">
        <f t="shared" si="11"/>
        <v>35–49</v>
      </c>
    </row>
    <row r="371" spans="1:13">
      <c r="A371" t="s">
        <v>746</v>
      </c>
      <c r="B371" t="s">
        <v>747</v>
      </c>
      <c r="C371">
        <v>59</v>
      </c>
      <c r="D371" t="s">
        <v>13</v>
      </c>
      <c r="E371" s="2">
        <v>45530</v>
      </c>
      <c r="F371" s="2">
        <v>45544</v>
      </c>
      <c r="G371" t="s">
        <v>61</v>
      </c>
      <c r="H371" t="s">
        <v>98</v>
      </c>
      <c r="I371" s="3">
        <v>21123.25</v>
      </c>
      <c r="J371" s="4">
        <v>80</v>
      </c>
      <c r="K371" t="s">
        <v>16</v>
      </c>
      <c r="L371">
        <f t="shared" si="10"/>
        <v>14</v>
      </c>
      <c r="M371" t="str">
        <f t="shared" si="11"/>
        <v>50–64</v>
      </c>
    </row>
    <row r="372" spans="1:13">
      <c r="A372" t="s">
        <v>748</v>
      </c>
      <c r="B372" t="s">
        <v>749</v>
      </c>
      <c r="C372">
        <v>7</v>
      </c>
      <c r="D372" t="s">
        <v>13</v>
      </c>
      <c r="E372" s="2">
        <v>45729</v>
      </c>
      <c r="F372" s="2">
        <v>45734</v>
      </c>
      <c r="G372" t="s">
        <v>50</v>
      </c>
      <c r="H372" t="s">
        <v>118</v>
      </c>
      <c r="I372" s="3">
        <v>5585.79</v>
      </c>
      <c r="J372" s="4">
        <v>0</v>
      </c>
      <c r="K372" t="s">
        <v>26</v>
      </c>
      <c r="L372">
        <f t="shared" si="10"/>
        <v>5</v>
      </c>
      <c r="M372" t="str">
        <f t="shared" si="11"/>
        <v>0–17</v>
      </c>
    </row>
    <row r="373" spans="1:13">
      <c r="A373" t="s">
        <v>750</v>
      </c>
      <c r="B373" t="s">
        <v>751</v>
      </c>
      <c r="C373">
        <v>37</v>
      </c>
      <c r="D373" t="s">
        <v>19</v>
      </c>
      <c r="E373" s="2">
        <v>45548</v>
      </c>
      <c r="F373" s="2">
        <v>45553</v>
      </c>
      <c r="G373" t="s">
        <v>32</v>
      </c>
      <c r="H373" t="s">
        <v>88</v>
      </c>
      <c r="I373" s="3">
        <v>6953.83</v>
      </c>
      <c r="J373" s="4">
        <v>90</v>
      </c>
      <c r="K373" t="s">
        <v>21</v>
      </c>
      <c r="L373">
        <f t="shared" si="10"/>
        <v>5</v>
      </c>
      <c r="M373" t="str">
        <f t="shared" si="11"/>
        <v>35–49</v>
      </c>
    </row>
    <row r="374" spans="1:13">
      <c r="A374" t="s">
        <v>752</v>
      </c>
      <c r="B374" t="s">
        <v>753</v>
      </c>
      <c r="C374">
        <v>33</v>
      </c>
      <c r="D374" t="s">
        <v>19</v>
      </c>
      <c r="E374" s="2">
        <v>45659</v>
      </c>
      <c r="F374" s="2">
        <v>45660</v>
      </c>
      <c r="G374" t="s">
        <v>24</v>
      </c>
      <c r="H374" t="s">
        <v>42</v>
      </c>
      <c r="I374" s="3">
        <v>2224.13</v>
      </c>
      <c r="J374" s="4">
        <v>70</v>
      </c>
      <c r="K374" t="s">
        <v>16</v>
      </c>
      <c r="L374">
        <f t="shared" si="10"/>
        <v>1</v>
      </c>
      <c r="M374" t="str">
        <f t="shared" si="11"/>
        <v>18–34</v>
      </c>
    </row>
    <row r="375" spans="1:13">
      <c r="A375" t="s">
        <v>754</v>
      </c>
      <c r="B375" t="s">
        <v>636</v>
      </c>
      <c r="C375">
        <v>76</v>
      </c>
      <c r="D375" t="s">
        <v>13</v>
      </c>
      <c r="E375" s="2">
        <v>45768</v>
      </c>
      <c r="F375" s="2">
        <v>45774</v>
      </c>
      <c r="G375" t="s">
        <v>14</v>
      </c>
      <c r="H375" t="s">
        <v>39</v>
      </c>
      <c r="I375" s="3">
        <v>11111.41</v>
      </c>
      <c r="J375" s="4">
        <v>70</v>
      </c>
      <c r="K375" t="s">
        <v>16</v>
      </c>
      <c r="L375">
        <f t="shared" si="10"/>
        <v>6</v>
      </c>
      <c r="M375" t="str">
        <f t="shared" si="11"/>
        <v>65+</v>
      </c>
    </row>
    <row r="376" spans="1:13">
      <c r="A376" t="s">
        <v>755</v>
      </c>
      <c r="B376" t="s">
        <v>742</v>
      </c>
      <c r="C376">
        <v>31</v>
      </c>
      <c r="D376" t="s">
        <v>13</v>
      </c>
      <c r="E376" s="2">
        <v>45547</v>
      </c>
      <c r="F376" s="2">
        <v>45554</v>
      </c>
      <c r="G376" t="s">
        <v>32</v>
      </c>
      <c r="H376" t="s">
        <v>45</v>
      </c>
      <c r="I376" s="3">
        <v>8312.57</v>
      </c>
      <c r="J376" s="4">
        <v>70</v>
      </c>
      <c r="K376" t="s">
        <v>16</v>
      </c>
      <c r="L376">
        <f t="shared" si="10"/>
        <v>7</v>
      </c>
      <c r="M376" t="str">
        <f t="shared" si="11"/>
        <v>18–34</v>
      </c>
    </row>
    <row r="377" spans="1:13">
      <c r="A377" t="s">
        <v>756</v>
      </c>
      <c r="B377" t="s">
        <v>517</v>
      </c>
      <c r="C377">
        <v>36</v>
      </c>
      <c r="D377" t="s">
        <v>13</v>
      </c>
      <c r="E377" s="2">
        <v>45595</v>
      </c>
      <c r="F377" s="2">
        <v>45600</v>
      </c>
      <c r="G377" t="s">
        <v>32</v>
      </c>
      <c r="H377" t="s">
        <v>235</v>
      </c>
      <c r="I377" s="3">
        <v>4633.5</v>
      </c>
      <c r="J377" s="4">
        <v>90</v>
      </c>
      <c r="K377" t="s">
        <v>16</v>
      </c>
      <c r="L377">
        <f t="shared" si="10"/>
        <v>5</v>
      </c>
      <c r="M377" t="str">
        <f t="shared" si="11"/>
        <v>35–49</v>
      </c>
    </row>
    <row r="378" spans="1:13">
      <c r="A378" t="s">
        <v>757</v>
      </c>
      <c r="B378" t="s">
        <v>758</v>
      </c>
      <c r="C378">
        <v>29</v>
      </c>
      <c r="D378" t="s">
        <v>19</v>
      </c>
      <c r="E378" s="2">
        <v>45590</v>
      </c>
      <c r="F378" s="2">
        <v>45593</v>
      </c>
      <c r="G378" t="s">
        <v>61</v>
      </c>
      <c r="H378" t="s">
        <v>78</v>
      </c>
      <c r="I378" s="3">
        <v>6028.31</v>
      </c>
      <c r="J378" s="4">
        <v>80</v>
      </c>
      <c r="K378" t="s">
        <v>26</v>
      </c>
      <c r="L378">
        <f t="shared" si="10"/>
        <v>3</v>
      </c>
      <c r="M378" t="str">
        <f t="shared" si="11"/>
        <v>18–34</v>
      </c>
    </row>
    <row r="379" spans="1:13">
      <c r="A379" t="s">
        <v>759</v>
      </c>
      <c r="B379" t="s">
        <v>760</v>
      </c>
      <c r="C379">
        <v>64</v>
      </c>
      <c r="D379" t="s">
        <v>13</v>
      </c>
      <c r="E379" s="2">
        <v>45385</v>
      </c>
      <c r="F379" s="2">
        <v>45390</v>
      </c>
      <c r="G379" t="s">
        <v>71</v>
      </c>
      <c r="H379" t="s">
        <v>95</v>
      </c>
      <c r="I379" s="3">
        <v>6224.81</v>
      </c>
      <c r="J379" s="4">
        <v>70</v>
      </c>
      <c r="K379" t="s">
        <v>26</v>
      </c>
      <c r="L379">
        <f t="shared" si="10"/>
        <v>5</v>
      </c>
      <c r="M379" t="str">
        <f t="shared" si="11"/>
        <v>50–64</v>
      </c>
    </row>
    <row r="380" spans="1:13">
      <c r="A380" t="s">
        <v>761</v>
      </c>
      <c r="B380" t="s">
        <v>493</v>
      </c>
      <c r="C380">
        <v>44</v>
      </c>
      <c r="D380" t="s">
        <v>13</v>
      </c>
      <c r="E380" s="2">
        <v>45500</v>
      </c>
      <c r="F380" s="2">
        <v>45511</v>
      </c>
      <c r="G380" t="s">
        <v>61</v>
      </c>
      <c r="H380" t="s">
        <v>62</v>
      </c>
      <c r="I380" s="3">
        <v>18959.16</v>
      </c>
      <c r="J380" s="4">
        <v>60</v>
      </c>
      <c r="K380" t="s">
        <v>16</v>
      </c>
      <c r="L380">
        <f t="shared" si="10"/>
        <v>11</v>
      </c>
      <c r="M380" t="str">
        <f t="shared" si="11"/>
        <v>35–49</v>
      </c>
    </row>
    <row r="381" spans="1:13">
      <c r="A381" t="s">
        <v>762</v>
      </c>
      <c r="B381" t="s">
        <v>763</v>
      </c>
      <c r="C381">
        <v>77</v>
      </c>
      <c r="D381" t="s">
        <v>19</v>
      </c>
      <c r="E381" s="2">
        <v>45378</v>
      </c>
      <c r="F381" s="2">
        <v>45380</v>
      </c>
      <c r="G381" t="s">
        <v>32</v>
      </c>
      <c r="H381" t="s">
        <v>33</v>
      </c>
      <c r="I381" s="3">
        <v>2123.39</v>
      </c>
      <c r="J381" s="4">
        <v>80</v>
      </c>
      <c r="K381" t="s">
        <v>16</v>
      </c>
      <c r="L381">
        <f t="shared" si="10"/>
        <v>2</v>
      </c>
      <c r="M381" t="str">
        <f t="shared" si="11"/>
        <v>65+</v>
      </c>
    </row>
    <row r="382" spans="1:13">
      <c r="A382" t="s">
        <v>764</v>
      </c>
      <c r="B382" t="s">
        <v>765</v>
      </c>
      <c r="C382">
        <v>51</v>
      </c>
      <c r="D382" t="s">
        <v>19</v>
      </c>
      <c r="E382" s="2">
        <v>45535</v>
      </c>
      <c r="F382" s="2">
        <v>45537</v>
      </c>
      <c r="G382" t="s">
        <v>61</v>
      </c>
      <c r="H382" t="s">
        <v>78</v>
      </c>
      <c r="I382" s="3">
        <v>4043.37</v>
      </c>
      <c r="J382" s="4">
        <v>100</v>
      </c>
      <c r="K382" t="s">
        <v>16</v>
      </c>
      <c r="L382">
        <f t="shared" si="10"/>
        <v>2</v>
      </c>
      <c r="M382" t="str">
        <f t="shared" si="11"/>
        <v>50–64</v>
      </c>
    </row>
    <row r="383" spans="1:13">
      <c r="A383" t="s">
        <v>766</v>
      </c>
      <c r="B383" t="s">
        <v>767</v>
      </c>
      <c r="C383">
        <v>4</v>
      </c>
      <c r="D383" t="s">
        <v>13</v>
      </c>
      <c r="E383" s="2">
        <v>45670</v>
      </c>
      <c r="F383" s="2">
        <v>45671</v>
      </c>
      <c r="G383" t="s">
        <v>50</v>
      </c>
      <c r="H383" t="s">
        <v>124</v>
      </c>
      <c r="I383" s="3">
        <v>843.6</v>
      </c>
      <c r="J383" s="4">
        <v>70</v>
      </c>
      <c r="K383" t="s">
        <v>26</v>
      </c>
      <c r="L383">
        <f t="shared" si="10"/>
        <v>1</v>
      </c>
      <c r="M383" t="str">
        <f t="shared" si="11"/>
        <v>0–17</v>
      </c>
    </row>
    <row r="384" spans="1:13">
      <c r="A384" t="s">
        <v>768</v>
      </c>
      <c r="B384" t="s">
        <v>539</v>
      </c>
      <c r="C384">
        <v>37</v>
      </c>
      <c r="D384" t="s">
        <v>19</v>
      </c>
      <c r="E384" s="2">
        <v>46012</v>
      </c>
      <c r="F384" s="2">
        <v>46016</v>
      </c>
      <c r="G384" t="s">
        <v>32</v>
      </c>
      <c r="H384" t="s">
        <v>115</v>
      </c>
      <c r="I384" s="3">
        <v>2561.88</v>
      </c>
      <c r="J384" s="4">
        <v>70</v>
      </c>
      <c r="K384" t="s">
        <v>16</v>
      </c>
      <c r="L384">
        <f t="shared" si="10"/>
        <v>4</v>
      </c>
      <c r="M384" t="str">
        <f t="shared" si="11"/>
        <v>35–49</v>
      </c>
    </row>
    <row r="385" spans="1:13">
      <c r="A385" t="s">
        <v>769</v>
      </c>
      <c r="B385" t="s">
        <v>770</v>
      </c>
      <c r="C385">
        <v>21</v>
      </c>
      <c r="D385" t="s">
        <v>19</v>
      </c>
      <c r="E385" s="2">
        <v>45293</v>
      </c>
      <c r="F385" s="2">
        <v>45294</v>
      </c>
      <c r="G385" t="s">
        <v>24</v>
      </c>
      <c r="H385" t="s">
        <v>29</v>
      </c>
      <c r="I385" s="3">
        <v>1511.32</v>
      </c>
      <c r="J385" s="4">
        <v>80</v>
      </c>
      <c r="K385" t="s">
        <v>21</v>
      </c>
      <c r="L385">
        <f t="shared" si="10"/>
        <v>1</v>
      </c>
      <c r="M385" t="str">
        <f t="shared" si="11"/>
        <v>18–34</v>
      </c>
    </row>
    <row r="386" spans="1:13">
      <c r="A386" t="s">
        <v>771</v>
      </c>
      <c r="B386" t="s">
        <v>180</v>
      </c>
      <c r="C386">
        <v>55</v>
      </c>
      <c r="D386" t="s">
        <v>13</v>
      </c>
      <c r="E386" s="2">
        <v>45930</v>
      </c>
      <c r="F386" s="2">
        <v>45944</v>
      </c>
      <c r="G386" t="s">
        <v>61</v>
      </c>
      <c r="H386" t="s">
        <v>62</v>
      </c>
      <c r="I386" s="3">
        <v>27685.69</v>
      </c>
      <c r="J386" s="4">
        <v>70</v>
      </c>
      <c r="K386" t="s">
        <v>16</v>
      </c>
      <c r="L386">
        <f t="shared" si="10"/>
        <v>14</v>
      </c>
      <c r="M386" t="str">
        <f t="shared" si="11"/>
        <v>50–64</v>
      </c>
    </row>
    <row r="387" spans="1:13">
      <c r="A387" t="s">
        <v>772</v>
      </c>
      <c r="B387" t="s">
        <v>773</v>
      </c>
      <c r="C387">
        <v>24</v>
      </c>
      <c r="D387" t="s">
        <v>13</v>
      </c>
      <c r="E387" s="2">
        <v>45591</v>
      </c>
      <c r="F387" s="2">
        <v>45595</v>
      </c>
      <c r="G387" t="s">
        <v>32</v>
      </c>
      <c r="H387" t="s">
        <v>88</v>
      </c>
      <c r="I387" s="3">
        <v>3028.33</v>
      </c>
      <c r="J387" s="4">
        <v>70</v>
      </c>
      <c r="K387" t="s">
        <v>21</v>
      </c>
      <c r="L387">
        <f t="shared" ref="L387:L450" si="12">F387-E387</f>
        <v>4</v>
      </c>
      <c r="M387" t="str">
        <f t="shared" ref="M387:M450" si="13">IF(C387&lt;=17,"0–17",IF(C387&lt;=34,"18–34",IF(C387&lt;=49,"35–49",IF(C387&lt;=64,"50–64","65+"))))</f>
        <v>18–34</v>
      </c>
    </row>
    <row r="388" spans="1:13">
      <c r="A388" t="s">
        <v>774</v>
      </c>
      <c r="B388" t="s">
        <v>775</v>
      </c>
      <c r="C388">
        <v>70</v>
      </c>
      <c r="D388" t="s">
        <v>13</v>
      </c>
      <c r="E388" s="2">
        <v>45751</v>
      </c>
      <c r="F388" s="2">
        <v>45765</v>
      </c>
      <c r="G388" t="s">
        <v>61</v>
      </c>
      <c r="H388" t="s">
        <v>75</v>
      </c>
      <c r="I388" s="3">
        <v>37544.019999999997</v>
      </c>
      <c r="J388" s="4">
        <v>80</v>
      </c>
      <c r="K388" t="s">
        <v>16</v>
      </c>
      <c r="L388">
        <f t="shared" si="12"/>
        <v>14</v>
      </c>
      <c r="M388" t="str">
        <f t="shared" si="13"/>
        <v>65+</v>
      </c>
    </row>
    <row r="389" spans="1:13">
      <c r="A389" t="s">
        <v>776</v>
      </c>
      <c r="B389" t="s">
        <v>777</v>
      </c>
      <c r="C389">
        <v>32</v>
      </c>
      <c r="D389" t="s">
        <v>13</v>
      </c>
      <c r="E389" s="2">
        <v>45444</v>
      </c>
      <c r="F389" s="2">
        <v>45451</v>
      </c>
      <c r="G389" t="s">
        <v>71</v>
      </c>
      <c r="H389" t="s">
        <v>158</v>
      </c>
      <c r="I389" s="3">
        <v>17899.3</v>
      </c>
      <c r="J389" s="4">
        <v>70</v>
      </c>
      <c r="K389" t="s">
        <v>26</v>
      </c>
      <c r="L389">
        <f t="shared" si="12"/>
        <v>7</v>
      </c>
      <c r="M389" t="str">
        <f t="shared" si="13"/>
        <v>18–34</v>
      </c>
    </row>
    <row r="390" spans="1:13">
      <c r="A390" t="s">
        <v>778</v>
      </c>
      <c r="B390" t="s">
        <v>779</v>
      </c>
      <c r="C390">
        <v>11</v>
      </c>
      <c r="D390" t="s">
        <v>13</v>
      </c>
      <c r="E390" s="2">
        <v>46010</v>
      </c>
      <c r="F390" s="2">
        <v>46013</v>
      </c>
      <c r="G390" t="s">
        <v>50</v>
      </c>
      <c r="H390" t="s">
        <v>51</v>
      </c>
      <c r="I390" s="3">
        <v>5297.21</v>
      </c>
      <c r="J390" s="4">
        <v>80</v>
      </c>
      <c r="K390" t="s">
        <v>16</v>
      </c>
      <c r="L390">
        <f t="shared" si="12"/>
        <v>3</v>
      </c>
      <c r="M390" t="str">
        <f t="shared" si="13"/>
        <v>0–17</v>
      </c>
    </row>
    <row r="391" spans="1:13">
      <c r="A391" t="s">
        <v>780</v>
      </c>
      <c r="B391" t="s">
        <v>781</v>
      </c>
      <c r="C391">
        <v>46</v>
      </c>
      <c r="D391" t="s">
        <v>13</v>
      </c>
      <c r="E391" s="2">
        <v>45305</v>
      </c>
      <c r="F391" s="2">
        <v>45313</v>
      </c>
      <c r="G391" t="s">
        <v>14</v>
      </c>
      <c r="H391" t="s">
        <v>103</v>
      </c>
      <c r="I391" s="3">
        <v>10640.24</v>
      </c>
      <c r="J391" s="4">
        <v>0</v>
      </c>
      <c r="K391" t="s">
        <v>26</v>
      </c>
      <c r="L391">
        <f t="shared" si="12"/>
        <v>8</v>
      </c>
      <c r="M391" t="str">
        <f t="shared" si="13"/>
        <v>35–49</v>
      </c>
    </row>
    <row r="392" spans="1:13">
      <c r="A392" t="s">
        <v>782</v>
      </c>
      <c r="B392" t="s">
        <v>387</v>
      </c>
      <c r="C392">
        <v>40</v>
      </c>
      <c r="D392" t="s">
        <v>19</v>
      </c>
      <c r="E392" s="2">
        <v>45636</v>
      </c>
      <c r="F392" s="2">
        <v>45639</v>
      </c>
      <c r="G392" t="s">
        <v>71</v>
      </c>
      <c r="H392" t="s">
        <v>72</v>
      </c>
      <c r="I392" s="3">
        <v>3660.71</v>
      </c>
      <c r="J392" s="4">
        <v>70</v>
      </c>
      <c r="K392" t="s">
        <v>26</v>
      </c>
      <c r="L392">
        <f t="shared" si="12"/>
        <v>3</v>
      </c>
      <c r="M392" t="str">
        <f t="shared" si="13"/>
        <v>35–49</v>
      </c>
    </row>
    <row r="393" spans="1:13">
      <c r="A393" t="s">
        <v>783</v>
      </c>
      <c r="B393" t="s">
        <v>784</v>
      </c>
      <c r="C393">
        <v>42</v>
      </c>
      <c r="D393" t="s">
        <v>19</v>
      </c>
      <c r="E393" s="2">
        <v>45941</v>
      </c>
      <c r="F393" s="2">
        <v>45947</v>
      </c>
      <c r="G393" t="s">
        <v>71</v>
      </c>
      <c r="H393" t="s">
        <v>95</v>
      </c>
      <c r="I393" s="3">
        <v>10028.68</v>
      </c>
      <c r="J393" s="4">
        <v>80</v>
      </c>
      <c r="K393" t="s">
        <v>21</v>
      </c>
      <c r="L393">
        <f t="shared" si="12"/>
        <v>6</v>
      </c>
      <c r="M393" t="str">
        <f t="shared" si="13"/>
        <v>35–49</v>
      </c>
    </row>
    <row r="394" spans="1:13">
      <c r="A394" t="s">
        <v>785</v>
      </c>
      <c r="B394" t="s">
        <v>786</v>
      </c>
      <c r="C394">
        <v>9</v>
      </c>
      <c r="D394" t="s">
        <v>19</v>
      </c>
      <c r="E394" s="2">
        <v>45296</v>
      </c>
      <c r="F394" s="2">
        <v>45301</v>
      </c>
      <c r="G394" t="s">
        <v>50</v>
      </c>
      <c r="H394" t="s">
        <v>131</v>
      </c>
      <c r="I394" s="3">
        <v>7238.61</v>
      </c>
      <c r="J394" s="4">
        <v>50</v>
      </c>
      <c r="K394" t="s">
        <v>21</v>
      </c>
      <c r="L394">
        <f t="shared" si="12"/>
        <v>5</v>
      </c>
      <c r="M394" t="str">
        <f t="shared" si="13"/>
        <v>0–17</v>
      </c>
    </row>
    <row r="395" spans="1:13">
      <c r="A395" t="s">
        <v>787</v>
      </c>
      <c r="B395" t="s">
        <v>788</v>
      </c>
      <c r="C395">
        <v>29</v>
      </c>
      <c r="D395" t="s">
        <v>19</v>
      </c>
      <c r="E395" s="2">
        <v>45292</v>
      </c>
      <c r="F395" s="2">
        <v>45293</v>
      </c>
      <c r="G395" t="s">
        <v>32</v>
      </c>
      <c r="H395" t="s">
        <v>45</v>
      </c>
      <c r="I395" s="3">
        <v>969.55</v>
      </c>
      <c r="J395" s="4">
        <v>90</v>
      </c>
      <c r="K395" t="s">
        <v>16</v>
      </c>
      <c r="L395">
        <f t="shared" si="12"/>
        <v>1</v>
      </c>
      <c r="M395" t="str">
        <f t="shared" si="13"/>
        <v>18–34</v>
      </c>
    </row>
    <row r="396" spans="1:13">
      <c r="A396" t="s">
        <v>789</v>
      </c>
      <c r="B396" t="s">
        <v>790</v>
      </c>
      <c r="C396">
        <v>63</v>
      </c>
      <c r="D396" t="s">
        <v>13</v>
      </c>
      <c r="E396" s="2">
        <v>45500</v>
      </c>
      <c r="F396" s="2">
        <v>45510</v>
      </c>
      <c r="G396" t="s">
        <v>14</v>
      </c>
      <c r="H396" t="s">
        <v>20</v>
      </c>
      <c r="I396" s="3">
        <v>29016.400000000001</v>
      </c>
      <c r="J396" s="4">
        <v>70</v>
      </c>
      <c r="K396" t="s">
        <v>16</v>
      </c>
      <c r="L396">
        <f t="shared" si="12"/>
        <v>10</v>
      </c>
      <c r="M396" t="str">
        <f t="shared" si="13"/>
        <v>50–64</v>
      </c>
    </row>
    <row r="397" spans="1:13">
      <c r="A397" t="s">
        <v>791</v>
      </c>
      <c r="B397" t="s">
        <v>792</v>
      </c>
      <c r="C397">
        <v>15</v>
      </c>
      <c r="D397" t="s">
        <v>19</v>
      </c>
      <c r="E397" s="2">
        <v>45857</v>
      </c>
      <c r="F397" s="2">
        <v>45861</v>
      </c>
      <c r="G397" t="s">
        <v>50</v>
      </c>
      <c r="H397" t="s">
        <v>118</v>
      </c>
      <c r="I397" s="3">
        <v>6415.8</v>
      </c>
      <c r="J397" s="4">
        <v>80</v>
      </c>
      <c r="K397" t="s">
        <v>16</v>
      </c>
      <c r="L397">
        <f t="shared" si="12"/>
        <v>4</v>
      </c>
      <c r="M397" t="str">
        <f t="shared" si="13"/>
        <v>0–17</v>
      </c>
    </row>
    <row r="398" spans="1:13">
      <c r="A398" t="s">
        <v>793</v>
      </c>
      <c r="B398" t="s">
        <v>794</v>
      </c>
      <c r="C398">
        <v>54</v>
      </c>
      <c r="D398" t="s">
        <v>13</v>
      </c>
      <c r="E398" s="2">
        <v>45646</v>
      </c>
      <c r="F398" s="2">
        <v>45651</v>
      </c>
      <c r="G398" t="s">
        <v>14</v>
      </c>
      <c r="H398" t="s">
        <v>103</v>
      </c>
      <c r="I398" s="3">
        <v>12816.46</v>
      </c>
      <c r="J398" s="4">
        <v>50</v>
      </c>
      <c r="K398" t="s">
        <v>16</v>
      </c>
      <c r="L398">
        <f t="shared" si="12"/>
        <v>5</v>
      </c>
      <c r="M398" t="str">
        <f t="shared" si="13"/>
        <v>50–64</v>
      </c>
    </row>
    <row r="399" spans="1:13">
      <c r="A399" t="s">
        <v>795</v>
      </c>
      <c r="B399" t="s">
        <v>796</v>
      </c>
      <c r="C399">
        <v>77</v>
      </c>
      <c r="D399" t="s">
        <v>19</v>
      </c>
      <c r="E399" s="2">
        <v>45582</v>
      </c>
      <c r="F399" s="2">
        <v>45585</v>
      </c>
      <c r="G399" t="s">
        <v>14</v>
      </c>
      <c r="H399" t="s">
        <v>166</v>
      </c>
      <c r="I399" s="3">
        <v>7577.11</v>
      </c>
      <c r="J399" s="4">
        <v>80</v>
      </c>
      <c r="K399" t="s">
        <v>16</v>
      </c>
      <c r="L399">
        <f t="shared" si="12"/>
        <v>3</v>
      </c>
      <c r="M399" t="str">
        <f t="shared" si="13"/>
        <v>65+</v>
      </c>
    </row>
    <row r="400" spans="1:13">
      <c r="A400" t="s">
        <v>797</v>
      </c>
      <c r="B400" t="s">
        <v>798</v>
      </c>
      <c r="C400">
        <v>35</v>
      </c>
      <c r="D400" t="s">
        <v>13</v>
      </c>
      <c r="E400" s="2">
        <v>45641</v>
      </c>
      <c r="F400" s="2">
        <v>45642</v>
      </c>
      <c r="G400" t="s">
        <v>24</v>
      </c>
      <c r="H400" t="s">
        <v>205</v>
      </c>
      <c r="I400" s="3">
        <v>1670.53</v>
      </c>
      <c r="J400" s="4">
        <v>80</v>
      </c>
      <c r="K400" t="s">
        <v>16</v>
      </c>
      <c r="L400">
        <f t="shared" si="12"/>
        <v>1</v>
      </c>
      <c r="M400" t="str">
        <f t="shared" si="13"/>
        <v>35–49</v>
      </c>
    </row>
    <row r="401" spans="1:13">
      <c r="A401" t="s">
        <v>799</v>
      </c>
      <c r="B401" t="s">
        <v>800</v>
      </c>
      <c r="C401">
        <v>58</v>
      </c>
      <c r="D401" t="s">
        <v>13</v>
      </c>
      <c r="E401" s="2">
        <v>45390</v>
      </c>
      <c r="F401" s="2">
        <v>45398</v>
      </c>
      <c r="G401" t="s">
        <v>61</v>
      </c>
      <c r="H401" t="s">
        <v>75</v>
      </c>
      <c r="I401" s="3">
        <v>19956.13</v>
      </c>
      <c r="J401" s="4">
        <v>100</v>
      </c>
      <c r="K401" t="s">
        <v>16</v>
      </c>
      <c r="L401">
        <f t="shared" si="12"/>
        <v>8</v>
      </c>
      <c r="M401" t="str">
        <f t="shared" si="13"/>
        <v>50–64</v>
      </c>
    </row>
    <row r="402" spans="1:13">
      <c r="A402" t="s">
        <v>801</v>
      </c>
      <c r="B402" t="s">
        <v>378</v>
      </c>
      <c r="C402">
        <v>73</v>
      </c>
      <c r="D402" t="s">
        <v>13</v>
      </c>
      <c r="E402" s="2">
        <v>45441</v>
      </c>
      <c r="F402" s="2">
        <v>45443</v>
      </c>
      <c r="G402" t="s">
        <v>24</v>
      </c>
      <c r="H402" t="s">
        <v>83</v>
      </c>
      <c r="I402" s="3">
        <v>2111.6799999999998</v>
      </c>
      <c r="J402" s="4">
        <v>90</v>
      </c>
      <c r="K402" t="s">
        <v>16</v>
      </c>
      <c r="L402">
        <f t="shared" si="12"/>
        <v>2</v>
      </c>
      <c r="M402" t="str">
        <f t="shared" si="13"/>
        <v>65+</v>
      </c>
    </row>
    <row r="403" spans="1:13">
      <c r="A403" t="s">
        <v>802</v>
      </c>
      <c r="B403" t="s">
        <v>803</v>
      </c>
      <c r="C403">
        <v>40</v>
      </c>
      <c r="D403" t="s">
        <v>19</v>
      </c>
      <c r="E403" s="2">
        <v>45336</v>
      </c>
      <c r="F403" s="2">
        <v>45342</v>
      </c>
      <c r="G403" t="s">
        <v>61</v>
      </c>
      <c r="H403" t="s">
        <v>143</v>
      </c>
      <c r="I403" s="3">
        <v>9466.9</v>
      </c>
      <c r="J403" s="4">
        <v>70</v>
      </c>
      <c r="K403" t="s">
        <v>26</v>
      </c>
      <c r="L403">
        <f t="shared" si="12"/>
        <v>6</v>
      </c>
      <c r="M403" t="str">
        <f t="shared" si="13"/>
        <v>35–49</v>
      </c>
    </row>
    <row r="404" spans="1:13">
      <c r="A404" t="s">
        <v>804</v>
      </c>
      <c r="B404" t="s">
        <v>805</v>
      </c>
      <c r="C404">
        <v>42</v>
      </c>
      <c r="D404" t="s">
        <v>19</v>
      </c>
      <c r="E404" s="2">
        <v>45294</v>
      </c>
      <c r="F404" s="2">
        <v>45304</v>
      </c>
      <c r="G404" t="s">
        <v>71</v>
      </c>
      <c r="H404" t="s">
        <v>195</v>
      </c>
      <c r="I404" s="3">
        <v>20681.509999999998</v>
      </c>
      <c r="J404" s="4">
        <v>90</v>
      </c>
      <c r="K404" t="s">
        <v>16</v>
      </c>
      <c r="L404">
        <f t="shared" si="12"/>
        <v>10</v>
      </c>
      <c r="M404" t="str">
        <f t="shared" si="13"/>
        <v>35–49</v>
      </c>
    </row>
    <row r="405" spans="1:13">
      <c r="A405" t="s">
        <v>806</v>
      </c>
      <c r="B405" t="s">
        <v>807</v>
      </c>
      <c r="C405">
        <v>12</v>
      </c>
      <c r="D405" t="s">
        <v>13</v>
      </c>
      <c r="E405" s="2">
        <v>45750</v>
      </c>
      <c r="F405" s="2">
        <v>45754</v>
      </c>
      <c r="G405" t="s">
        <v>50</v>
      </c>
      <c r="H405" t="s">
        <v>131</v>
      </c>
      <c r="I405" s="3">
        <v>2556.54</v>
      </c>
      <c r="J405" s="4">
        <v>100</v>
      </c>
      <c r="K405" t="s">
        <v>16</v>
      </c>
      <c r="L405">
        <f t="shared" si="12"/>
        <v>4</v>
      </c>
      <c r="M405" t="str">
        <f t="shared" si="13"/>
        <v>0–17</v>
      </c>
    </row>
    <row r="406" spans="1:13">
      <c r="A406" t="s">
        <v>808</v>
      </c>
      <c r="B406" t="s">
        <v>809</v>
      </c>
      <c r="C406">
        <v>67</v>
      </c>
      <c r="D406" t="s">
        <v>13</v>
      </c>
      <c r="E406" s="2">
        <v>45359</v>
      </c>
      <c r="F406" s="2">
        <v>45367</v>
      </c>
      <c r="G406" t="s">
        <v>71</v>
      </c>
      <c r="H406" t="s">
        <v>72</v>
      </c>
      <c r="I406" s="3">
        <v>20496.009999999998</v>
      </c>
      <c r="J406" s="4">
        <v>100</v>
      </c>
      <c r="K406" t="s">
        <v>21</v>
      </c>
      <c r="L406">
        <f t="shared" si="12"/>
        <v>8</v>
      </c>
      <c r="M406" t="str">
        <f t="shared" si="13"/>
        <v>65+</v>
      </c>
    </row>
    <row r="407" spans="1:13">
      <c r="A407" t="s">
        <v>810</v>
      </c>
      <c r="B407" t="s">
        <v>811</v>
      </c>
      <c r="C407">
        <v>1</v>
      </c>
      <c r="D407" t="s">
        <v>13</v>
      </c>
      <c r="E407" s="2">
        <v>45405</v>
      </c>
      <c r="F407" s="2">
        <v>45406</v>
      </c>
      <c r="G407" t="s">
        <v>50</v>
      </c>
      <c r="H407" t="s">
        <v>51</v>
      </c>
      <c r="I407" s="3">
        <v>1269.22</v>
      </c>
      <c r="J407" s="4">
        <v>90</v>
      </c>
      <c r="K407" t="s">
        <v>16</v>
      </c>
      <c r="L407">
        <f t="shared" si="12"/>
        <v>1</v>
      </c>
      <c r="M407" t="str">
        <f t="shared" si="13"/>
        <v>0–17</v>
      </c>
    </row>
    <row r="408" spans="1:13">
      <c r="A408" t="s">
        <v>812</v>
      </c>
      <c r="B408" t="s">
        <v>813</v>
      </c>
      <c r="C408">
        <v>74</v>
      </c>
      <c r="D408" t="s">
        <v>19</v>
      </c>
      <c r="E408" s="2">
        <v>45527</v>
      </c>
      <c r="F408" s="2">
        <v>45536</v>
      </c>
      <c r="G408" t="s">
        <v>61</v>
      </c>
      <c r="H408" t="s">
        <v>62</v>
      </c>
      <c r="I408" s="3">
        <v>14175.59</v>
      </c>
      <c r="J408" s="4">
        <v>70</v>
      </c>
      <c r="K408" t="s">
        <v>26</v>
      </c>
      <c r="L408">
        <f t="shared" si="12"/>
        <v>9</v>
      </c>
      <c r="M408" t="str">
        <f t="shared" si="13"/>
        <v>65+</v>
      </c>
    </row>
    <row r="409" spans="1:13">
      <c r="A409" t="s">
        <v>814</v>
      </c>
      <c r="B409" t="s">
        <v>815</v>
      </c>
      <c r="C409">
        <v>36</v>
      </c>
      <c r="D409" t="s">
        <v>19</v>
      </c>
      <c r="E409" s="2">
        <v>45845</v>
      </c>
      <c r="F409" s="2">
        <v>45847</v>
      </c>
      <c r="G409" t="s">
        <v>24</v>
      </c>
      <c r="H409" t="s">
        <v>334</v>
      </c>
      <c r="I409" s="3">
        <v>2258.0700000000002</v>
      </c>
      <c r="J409" s="4">
        <v>80</v>
      </c>
      <c r="K409" t="s">
        <v>16</v>
      </c>
      <c r="L409">
        <f t="shared" si="12"/>
        <v>2</v>
      </c>
      <c r="M409" t="str">
        <f t="shared" si="13"/>
        <v>35–49</v>
      </c>
    </row>
    <row r="410" spans="1:13">
      <c r="A410" t="s">
        <v>816</v>
      </c>
      <c r="B410" t="s">
        <v>817</v>
      </c>
      <c r="C410">
        <v>53</v>
      </c>
      <c r="D410" t="s">
        <v>13</v>
      </c>
      <c r="E410" s="2">
        <v>45980</v>
      </c>
      <c r="F410" s="2">
        <v>45981</v>
      </c>
      <c r="G410" t="s">
        <v>32</v>
      </c>
      <c r="H410" t="s">
        <v>115</v>
      </c>
      <c r="I410" s="3">
        <v>1471.29</v>
      </c>
      <c r="J410" s="4">
        <v>80</v>
      </c>
      <c r="K410" t="s">
        <v>16</v>
      </c>
      <c r="L410">
        <f t="shared" si="12"/>
        <v>1</v>
      </c>
      <c r="M410" t="str">
        <f t="shared" si="13"/>
        <v>50–64</v>
      </c>
    </row>
    <row r="411" spans="1:13">
      <c r="A411" t="s">
        <v>818</v>
      </c>
      <c r="B411" t="s">
        <v>819</v>
      </c>
      <c r="C411">
        <v>7</v>
      </c>
      <c r="D411" t="s">
        <v>19</v>
      </c>
      <c r="E411" s="2">
        <v>45755</v>
      </c>
      <c r="F411" s="2">
        <v>45759</v>
      </c>
      <c r="G411" t="s">
        <v>50</v>
      </c>
      <c r="H411" t="s">
        <v>51</v>
      </c>
      <c r="I411" s="3">
        <v>4671.33</v>
      </c>
      <c r="J411" s="4">
        <v>70</v>
      </c>
      <c r="K411" t="s">
        <v>16</v>
      </c>
      <c r="L411">
        <f t="shared" si="12"/>
        <v>4</v>
      </c>
      <c r="M411" t="str">
        <f t="shared" si="13"/>
        <v>0–17</v>
      </c>
    </row>
    <row r="412" spans="1:13">
      <c r="A412" t="s">
        <v>820</v>
      </c>
      <c r="B412" t="s">
        <v>821</v>
      </c>
      <c r="C412">
        <v>56</v>
      </c>
      <c r="D412" t="s">
        <v>13</v>
      </c>
      <c r="E412" s="2">
        <v>46015</v>
      </c>
      <c r="F412" s="2">
        <v>46018</v>
      </c>
      <c r="G412" t="s">
        <v>24</v>
      </c>
      <c r="H412" t="s">
        <v>29</v>
      </c>
      <c r="I412" s="3">
        <v>3856.57</v>
      </c>
      <c r="J412" s="4">
        <v>70</v>
      </c>
      <c r="K412" t="s">
        <v>16</v>
      </c>
      <c r="L412">
        <f t="shared" si="12"/>
        <v>3</v>
      </c>
      <c r="M412" t="str">
        <f t="shared" si="13"/>
        <v>50–64</v>
      </c>
    </row>
    <row r="413" spans="1:13">
      <c r="A413" t="s">
        <v>822</v>
      </c>
      <c r="B413" t="s">
        <v>770</v>
      </c>
      <c r="C413">
        <v>42</v>
      </c>
      <c r="D413" t="s">
        <v>19</v>
      </c>
      <c r="E413" s="2">
        <v>45970</v>
      </c>
      <c r="F413" s="2">
        <v>45979</v>
      </c>
      <c r="G413" t="s">
        <v>14</v>
      </c>
      <c r="H413" t="s">
        <v>112</v>
      </c>
      <c r="I413" s="3">
        <v>22775.06</v>
      </c>
      <c r="J413" s="4">
        <v>80</v>
      </c>
      <c r="K413" t="s">
        <v>16</v>
      </c>
      <c r="L413">
        <f t="shared" si="12"/>
        <v>9</v>
      </c>
      <c r="M413" t="str">
        <f t="shared" si="13"/>
        <v>35–49</v>
      </c>
    </row>
    <row r="414" spans="1:13">
      <c r="A414" t="s">
        <v>823</v>
      </c>
      <c r="B414" t="s">
        <v>824</v>
      </c>
      <c r="C414">
        <v>53</v>
      </c>
      <c r="D414" t="s">
        <v>19</v>
      </c>
      <c r="E414" s="2">
        <v>45375</v>
      </c>
      <c r="F414" s="2">
        <v>45377</v>
      </c>
      <c r="G414" t="s">
        <v>24</v>
      </c>
      <c r="H414" t="s">
        <v>42</v>
      </c>
      <c r="I414" s="3">
        <v>2542.9899999999998</v>
      </c>
      <c r="J414" s="4">
        <v>60</v>
      </c>
      <c r="K414" t="s">
        <v>21</v>
      </c>
      <c r="L414">
        <f t="shared" si="12"/>
        <v>2</v>
      </c>
      <c r="M414" t="str">
        <f t="shared" si="13"/>
        <v>50–64</v>
      </c>
    </row>
    <row r="415" spans="1:13">
      <c r="A415" t="s">
        <v>825</v>
      </c>
      <c r="B415" t="s">
        <v>826</v>
      </c>
      <c r="C415">
        <v>4</v>
      </c>
      <c r="D415" t="s">
        <v>19</v>
      </c>
      <c r="E415" s="2">
        <v>45840</v>
      </c>
      <c r="F415" s="2">
        <v>45844</v>
      </c>
      <c r="G415" t="s">
        <v>50</v>
      </c>
      <c r="H415" t="s">
        <v>118</v>
      </c>
      <c r="I415" s="3">
        <v>7044.38</v>
      </c>
      <c r="J415" s="4">
        <v>90</v>
      </c>
      <c r="K415" t="s">
        <v>16</v>
      </c>
      <c r="L415">
        <f t="shared" si="12"/>
        <v>4</v>
      </c>
      <c r="M415" t="str">
        <f t="shared" si="13"/>
        <v>0–17</v>
      </c>
    </row>
    <row r="416" spans="1:13">
      <c r="A416" t="s">
        <v>827</v>
      </c>
      <c r="B416" t="s">
        <v>828</v>
      </c>
      <c r="C416">
        <v>11</v>
      </c>
      <c r="D416" t="s">
        <v>19</v>
      </c>
      <c r="E416" s="2">
        <v>45752</v>
      </c>
      <c r="F416" s="2">
        <v>45754</v>
      </c>
      <c r="G416" t="s">
        <v>50</v>
      </c>
      <c r="H416" t="s">
        <v>131</v>
      </c>
      <c r="I416" s="3">
        <v>3402.4</v>
      </c>
      <c r="J416" s="4">
        <v>90</v>
      </c>
      <c r="K416" t="s">
        <v>16</v>
      </c>
      <c r="L416">
        <f t="shared" si="12"/>
        <v>2</v>
      </c>
      <c r="M416" t="str">
        <f t="shared" si="13"/>
        <v>0–17</v>
      </c>
    </row>
    <row r="417" spans="1:13">
      <c r="A417" t="s">
        <v>829</v>
      </c>
      <c r="B417" t="s">
        <v>307</v>
      </c>
      <c r="C417">
        <v>62</v>
      </c>
      <c r="D417" t="s">
        <v>19</v>
      </c>
      <c r="E417" s="2">
        <v>45540</v>
      </c>
      <c r="F417" s="2">
        <v>45545</v>
      </c>
      <c r="G417" t="s">
        <v>61</v>
      </c>
      <c r="H417" t="s">
        <v>143</v>
      </c>
      <c r="I417" s="3">
        <v>13881.6</v>
      </c>
      <c r="J417" s="4">
        <v>70</v>
      </c>
      <c r="K417" t="s">
        <v>16</v>
      </c>
      <c r="L417">
        <f t="shared" si="12"/>
        <v>5</v>
      </c>
      <c r="M417" t="str">
        <f t="shared" si="13"/>
        <v>50–64</v>
      </c>
    </row>
    <row r="418" spans="1:13">
      <c r="A418" t="s">
        <v>830</v>
      </c>
      <c r="B418" t="s">
        <v>831</v>
      </c>
      <c r="C418">
        <v>29</v>
      </c>
      <c r="D418" t="s">
        <v>13</v>
      </c>
      <c r="E418" s="2">
        <v>45748</v>
      </c>
      <c r="F418" s="2">
        <v>45750</v>
      </c>
      <c r="G418" t="s">
        <v>32</v>
      </c>
      <c r="H418" t="s">
        <v>235</v>
      </c>
      <c r="I418" s="3">
        <v>1362.39</v>
      </c>
      <c r="J418" s="4">
        <v>80</v>
      </c>
      <c r="K418" t="s">
        <v>16</v>
      </c>
      <c r="L418">
        <f t="shared" si="12"/>
        <v>2</v>
      </c>
      <c r="M418" t="str">
        <f t="shared" si="13"/>
        <v>18–34</v>
      </c>
    </row>
    <row r="419" spans="1:13">
      <c r="A419" t="s">
        <v>832</v>
      </c>
      <c r="B419" t="s">
        <v>35</v>
      </c>
      <c r="C419">
        <v>2</v>
      </c>
      <c r="D419" t="s">
        <v>13</v>
      </c>
      <c r="E419" s="2">
        <v>45297</v>
      </c>
      <c r="F419" s="2">
        <v>45302</v>
      </c>
      <c r="G419" t="s">
        <v>50</v>
      </c>
      <c r="H419" t="s">
        <v>131</v>
      </c>
      <c r="I419" s="3">
        <v>8510.7800000000007</v>
      </c>
      <c r="J419" s="4">
        <v>70</v>
      </c>
      <c r="K419" t="s">
        <v>16</v>
      </c>
      <c r="L419">
        <f t="shared" si="12"/>
        <v>5</v>
      </c>
      <c r="M419" t="str">
        <f t="shared" si="13"/>
        <v>0–17</v>
      </c>
    </row>
    <row r="420" spans="1:13">
      <c r="A420" t="s">
        <v>833</v>
      </c>
      <c r="B420" t="s">
        <v>145</v>
      </c>
      <c r="C420">
        <v>67</v>
      </c>
      <c r="D420" t="s">
        <v>13</v>
      </c>
      <c r="E420" s="2">
        <v>45564</v>
      </c>
      <c r="F420" s="2">
        <v>45567</v>
      </c>
      <c r="G420" t="s">
        <v>32</v>
      </c>
      <c r="H420" t="s">
        <v>235</v>
      </c>
      <c r="I420" s="3">
        <v>2154.9699999999998</v>
      </c>
      <c r="J420" s="4">
        <v>90</v>
      </c>
      <c r="K420" t="s">
        <v>16</v>
      </c>
      <c r="L420">
        <f t="shared" si="12"/>
        <v>3</v>
      </c>
      <c r="M420" t="str">
        <f t="shared" si="13"/>
        <v>65+</v>
      </c>
    </row>
    <row r="421" spans="1:13">
      <c r="A421" t="s">
        <v>834</v>
      </c>
      <c r="B421" t="s">
        <v>217</v>
      </c>
      <c r="C421">
        <v>62</v>
      </c>
      <c r="D421" t="s">
        <v>19</v>
      </c>
      <c r="E421" s="2">
        <v>45428</v>
      </c>
      <c r="F421" s="2">
        <v>45431</v>
      </c>
      <c r="G421" t="s">
        <v>32</v>
      </c>
      <c r="H421" t="s">
        <v>235</v>
      </c>
      <c r="I421" s="3">
        <v>1950</v>
      </c>
      <c r="J421" s="4">
        <v>80</v>
      </c>
      <c r="K421" t="s">
        <v>21</v>
      </c>
      <c r="L421">
        <f t="shared" si="12"/>
        <v>3</v>
      </c>
      <c r="M421" t="str">
        <f t="shared" si="13"/>
        <v>50–64</v>
      </c>
    </row>
    <row r="422" spans="1:13">
      <c r="A422" t="s">
        <v>835</v>
      </c>
      <c r="B422" t="s">
        <v>836</v>
      </c>
      <c r="C422">
        <v>72</v>
      </c>
      <c r="D422" t="s">
        <v>19</v>
      </c>
      <c r="E422" s="2">
        <v>45524</v>
      </c>
      <c r="F422" s="2">
        <v>45529</v>
      </c>
      <c r="G422" t="s">
        <v>61</v>
      </c>
      <c r="H422" t="s">
        <v>134</v>
      </c>
      <c r="I422" s="3">
        <v>5004.03</v>
      </c>
      <c r="J422" s="4">
        <v>100</v>
      </c>
      <c r="K422" t="s">
        <v>16</v>
      </c>
      <c r="L422">
        <f t="shared" si="12"/>
        <v>5</v>
      </c>
      <c r="M422" t="str">
        <f t="shared" si="13"/>
        <v>65+</v>
      </c>
    </row>
    <row r="423" spans="1:13">
      <c r="A423" t="s">
        <v>837</v>
      </c>
      <c r="B423" t="s">
        <v>505</v>
      </c>
      <c r="C423">
        <v>63</v>
      </c>
      <c r="D423" t="s">
        <v>13</v>
      </c>
      <c r="E423" s="2">
        <v>45376</v>
      </c>
      <c r="F423" s="2">
        <v>45383</v>
      </c>
      <c r="G423" t="s">
        <v>71</v>
      </c>
      <c r="H423" t="s">
        <v>158</v>
      </c>
      <c r="I423" s="3">
        <v>7752.04</v>
      </c>
      <c r="J423" s="4">
        <v>90</v>
      </c>
      <c r="K423" t="s">
        <v>16</v>
      </c>
      <c r="L423">
        <f t="shared" si="12"/>
        <v>7</v>
      </c>
      <c r="M423" t="str">
        <f t="shared" si="13"/>
        <v>50–64</v>
      </c>
    </row>
    <row r="424" spans="1:13">
      <c r="A424" t="s">
        <v>838</v>
      </c>
      <c r="B424" t="s">
        <v>240</v>
      </c>
      <c r="C424">
        <v>69</v>
      </c>
      <c r="D424" t="s">
        <v>13</v>
      </c>
      <c r="E424" s="2">
        <v>45331</v>
      </c>
      <c r="F424" s="2">
        <v>45336</v>
      </c>
      <c r="G424" t="s">
        <v>61</v>
      </c>
      <c r="H424" t="s">
        <v>98</v>
      </c>
      <c r="I424" s="3">
        <v>6986.97</v>
      </c>
      <c r="J424" s="4">
        <v>100</v>
      </c>
      <c r="K424" t="s">
        <v>21</v>
      </c>
      <c r="L424">
        <f t="shared" si="12"/>
        <v>5</v>
      </c>
      <c r="M424" t="str">
        <f t="shared" si="13"/>
        <v>65+</v>
      </c>
    </row>
    <row r="425" spans="1:13">
      <c r="A425" t="s">
        <v>839</v>
      </c>
      <c r="B425" t="s">
        <v>840</v>
      </c>
      <c r="C425">
        <v>52</v>
      </c>
      <c r="D425" t="s">
        <v>13</v>
      </c>
      <c r="E425" s="2">
        <v>45966</v>
      </c>
      <c r="F425" s="2">
        <v>45967</v>
      </c>
      <c r="G425" t="s">
        <v>24</v>
      </c>
      <c r="H425" t="s">
        <v>334</v>
      </c>
      <c r="I425" s="3">
        <v>1744.21</v>
      </c>
      <c r="J425" s="4">
        <v>80</v>
      </c>
      <c r="K425" t="s">
        <v>21</v>
      </c>
      <c r="L425">
        <f t="shared" si="12"/>
        <v>1</v>
      </c>
      <c r="M425" t="str">
        <f t="shared" si="13"/>
        <v>50–64</v>
      </c>
    </row>
    <row r="426" spans="1:13">
      <c r="A426" t="s">
        <v>841</v>
      </c>
      <c r="B426" t="s">
        <v>842</v>
      </c>
      <c r="C426">
        <v>28</v>
      </c>
      <c r="D426" t="s">
        <v>19</v>
      </c>
      <c r="E426" s="2">
        <v>45307</v>
      </c>
      <c r="F426" s="2">
        <v>45320</v>
      </c>
      <c r="G426" t="s">
        <v>61</v>
      </c>
      <c r="H426" t="s">
        <v>143</v>
      </c>
      <c r="I426" s="3">
        <v>23326.29</v>
      </c>
      <c r="J426" s="4">
        <v>60</v>
      </c>
      <c r="K426" t="s">
        <v>16</v>
      </c>
      <c r="L426">
        <f t="shared" si="12"/>
        <v>13</v>
      </c>
      <c r="M426" t="str">
        <f t="shared" si="13"/>
        <v>18–34</v>
      </c>
    </row>
    <row r="427" spans="1:13">
      <c r="A427" t="s">
        <v>843</v>
      </c>
      <c r="B427" t="s">
        <v>844</v>
      </c>
      <c r="C427">
        <v>51</v>
      </c>
      <c r="D427" t="s">
        <v>19</v>
      </c>
      <c r="E427" s="2">
        <v>45925</v>
      </c>
      <c r="F427" s="2">
        <v>45932</v>
      </c>
      <c r="G427" t="s">
        <v>32</v>
      </c>
      <c r="H427" t="s">
        <v>36</v>
      </c>
      <c r="I427" s="3">
        <v>5587.17</v>
      </c>
      <c r="J427" s="4">
        <v>70</v>
      </c>
      <c r="K427" t="s">
        <v>21</v>
      </c>
      <c r="L427">
        <f t="shared" si="12"/>
        <v>7</v>
      </c>
      <c r="M427" t="str">
        <f t="shared" si="13"/>
        <v>50–64</v>
      </c>
    </row>
    <row r="428" spans="1:13">
      <c r="A428" t="s">
        <v>845</v>
      </c>
      <c r="B428" t="s">
        <v>479</v>
      </c>
      <c r="C428">
        <v>46</v>
      </c>
      <c r="D428" t="s">
        <v>19</v>
      </c>
      <c r="E428" s="2">
        <v>45796</v>
      </c>
      <c r="F428" s="2">
        <v>45809</v>
      </c>
      <c r="G428" t="s">
        <v>61</v>
      </c>
      <c r="H428" t="s">
        <v>134</v>
      </c>
      <c r="I428" s="3">
        <v>19329.240000000002</v>
      </c>
      <c r="J428" s="4">
        <v>80</v>
      </c>
      <c r="K428" t="s">
        <v>16</v>
      </c>
      <c r="L428">
        <f t="shared" si="12"/>
        <v>13</v>
      </c>
      <c r="M428" t="str">
        <f t="shared" si="13"/>
        <v>35–49</v>
      </c>
    </row>
    <row r="429" spans="1:13">
      <c r="A429" t="s">
        <v>846</v>
      </c>
      <c r="B429" t="s">
        <v>847</v>
      </c>
      <c r="C429">
        <v>46</v>
      </c>
      <c r="D429" t="s">
        <v>13</v>
      </c>
      <c r="E429" s="2">
        <v>45702</v>
      </c>
      <c r="F429" s="2">
        <v>45710</v>
      </c>
      <c r="G429" t="s">
        <v>14</v>
      </c>
      <c r="H429" t="s">
        <v>15</v>
      </c>
      <c r="I429" s="3">
        <v>20311.28</v>
      </c>
      <c r="J429" s="4">
        <v>0</v>
      </c>
      <c r="K429" t="s">
        <v>21</v>
      </c>
      <c r="L429">
        <f t="shared" si="12"/>
        <v>8</v>
      </c>
      <c r="M429" t="str">
        <f t="shared" si="13"/>
        <v>35–49</v>
      </c>
    </row>
    <row r="430" spans="1:13">
      <c r="A430" t="s">
        <v>848</v>
      </c>
      <c r="B430" t="s">
        <v>849</v>
      </c>
      <c r="C430">
        <v>73</v>
      </c>
      <c r="D430" t="s">
        <v>19</v>
      </c>
      <c r="E430" s="2">
        <v>45933</v>
      </c>
      <c r="F430" s="2">
        <v>45936</v>
      </c>
      <c r="G430" t="s">
        <v>24</v>
      </c>
      <c r="H430" t="s">
        <v>25</v>
      </c>
      <c r="I430" s="3">
        <v>2647.99</v>
      </c>
      <c r="J430" s="4">
        <v>80</v>
      </c>
      <c r="K430" t="s">
        <v>21</v>
      </c>
      <c r="L430">
        <f t="shared" si="12"/>
        <v>3</v>
      </c>
      <c r="M430" t="str">
        <f t="shared" si="13"/>
        <v>65+</v>
      </c>
    </row>
    <row r="431" spans="1:13">
      <c r="A431" t="s">
        <v>850</v>
      </c>
      <c r="B431" t="s">
        <v>851</v>
      </c>
      <c r="C431">
        <v>14</v>
      </c>
      <c r="D431" t="s">
        <v>19</v>
      </c>
      <c r="E431" s="2">
        <v>46005</v>
      </c>
      <c r="F431" s="2">
        <v>46007</v>
      </c>
      <c r="G431" t="s">
        <v>50</v>
      </c>
      <c r="H431" t="s">
        <v>121</v>
      </c>
      <c r="I431" s="3">
        <v>3396.48</v>
      </c>
      <c r="J431" s="4">
        <v>90</v>
      </c>
      <c r="K431" t="s">
        <v>16</v>
      </c>
      <c r="L431">
        <f t="shared" si="12"/>
        <v>2</v>
      </c>
      <c r="M431" t="str">
        <f t="shared" si="13"/>
        <v>0–17</v>
      </c>
    </row>
    <row r="432" spans="1:13">
      <c r="A432" t="s">
        <v>852</v>
      </c>
      <c r="B432" t="s">
        <v>853</v>
      </c>
      <c r="C432">
        <v>82</v>
      </c>
      <c r="D432" t="s">
        <v>13</v>
      </c>
      <c r="E432" s="2">
        <v>45341</v>
      </c>
      <c r="F432" s="2">
        <v>45348</v>
      </c>
      <c r="G432" t="s">
        <v>32</v>
      </c>
      <c r="H432" t="s">
        <v>88</v>
      </c>
      <c r="I432" s="3">
        <v>9947.52</v>
      </c>
      <c r="J432" s="4">
        <v>60</v>
      </c>
      <c r="K432" t="s">
        <v>21</v>
      </c>
      <c r="L432">
        <f t="shared" si="12"/>
        <v>7</v>
      </c>
      <c r="M432" t="str">
        <f t="shared" si="13"/>
        <v>65+</v>
      </c>
    </row>
    <row r="433" spans="1:13">
      <c r="A433" t="s">
        <v>854</v>
      </c>
      <c r="B433" t="s">
        <v>855</v>
      </c>
      <c r="C433">
        <v>11</v>
      </c>
      <c r="D433" t="s">
        <v>19</v>
      </c>
      <c r="E433" s="2">
        <v>45458</v>
      </c>
      <c r="F433" s="2">
        <v>45460</v>
      </c>
      <c r="G433" t="s">
        <v>50</v>
      </c>
      <c r="H433" t="s">
        <v>124</v>
      </c>
      <c r="I433" s="3">
        <v>2103.42</v>
      </c>
      <c r="J433" s="4">
        <v>60</v>
      </c>
      <c r="K433" t="s">
        <v>21</v>
      </c>
      <c r="L433">
        <f t="shared" si="12"/>
        <v>2</v>
      </c>
      <c r="M433" t="str">
        <f t="shared" si="13"/>
        <v>0–17</v>
      </c>
    </row>
    <row r="434" spans="1:13">
      <c r="A434" t="s">
        <v>856</v>
      </c>
      <c r="B434" t="s">
        <v>857</v>
      </c>
      <c r="C434">
        <v>41</v>
      </c>
      <c r="D434" t="s">
        <v>19</v>
      </c>
      <c r="E434" s="2">
        <v>45476</v>
      </c>
      <c r="F434" s="2">
        <v>45486</v>
      </c>
      <c r="G434" t="s">
        <v>61</v>
      </c>
      <c r="H434" t="s">
        <v>98</v>
      </c>
      <c r="I434" s="3">
        <v>20914.48</v>
      </c>
      <c r="J434" s="4">
        <v>50</v>
      </c>
      <c r="K434" t="s">
        <v>21</v>
      </c>
      <c r="L434">
        <f t="shared" si="12"/>
        <v>10</v>
      </c>
      <c r="M434" t="str">
        <f t="shared" si="13"/>
        <v>35–49</v>
      </c>
    </row>
    <row r="435" spans="1:13">
      <c r="A435" t="s">
        <v>858</v>
      </c>
      <c r="B435" t="s">
        <v>859</v>
      </c>
      <c r="C435">
        <v>57</v>
      </c>
      <c r="D435" t="s">
        <v>13</v>
      </c>
      <c r="E435" s="2">
        <v>45510</v>
      </c>
      <c r="F435" s="2">
        <v>45521</v>
      </c>
      <c r="G435" t="s">
        <v>61</v>
      </c>
      <c r="H435" t="s">
        <v>98</v>
      </c>
      <c r="I435" s="3">
        <v>16613.29</v>
      </c>
      <c r="J435" s="4">
        <v>60</v>
      </c>
      <c r="K435" t="s">
        <v>26</v>
      </c>
      <c r="L435">
        <f t="shared" si="12"/>
        <v>11</v>
      </c>
      <c r="M435" t="str">
        <f t="shared" si="13"/>
        <v>50–64</v>
      </c>
    </row>
    <row r="436" spans="1:13">
      <c r="A436" t="s">
        <v>860</v>
      </c>
      <c r="B436" t="s">
        <v>503</v>
      </c>
      <c r="C436">
        <v>62</v>
      </c>
      <c r="D436" t="s">
        <v>19</v>
      </c>
      <c r="E436" s="2">
        <v>45631</v>
      </c>
      <c r="F436" s="2">
        <v>45644</v>
      </c>
      <c r="G436" t="s">
        <v>61</v>
      </c>
      <c r="H436" t="s">
        <v>134</v>
      </c>
      <c r="I436" s="3">
        <v>23037.14</v>
      </c>
      <c r="J436" s="4">
        <v>70</v>
      </c>
      <c r="K436" t="s">
        <v>16</v>
      </c>
      <c r="L436">
        <f t="shared" si="12"/>
        <v>13</v>
      </c>
      <c r="M436" t="str">
        <f t="shared" si="13"/>
        <v>50–64</v>
      </c>
    </row>
    <row r="437" spans="1:13">
      <c r="A437" t="s">
        <v>861</v>
      </c>
      <c r="B437" t="s">
        <v>862</v>
      </c>
      <c r="C437">
        <v>23</v>
      </c>
      <c r="D437" t="s">
        <v>13</v>
      </c>
      <c r="E437" s="2">
        <v>45653</v>
      </c>
      <c r="F437" s="2">
        <v>45654</v>
      </c>
      <c r="G437" t="s">
        <v>32</v>
      </c>
      <c r="H437" t="s">
        <v>115</v>
      </c>
      <c r="I437" s="3">
        <v>618.74</v>
      </c>
      <c r="J437" s="4">
        <v>80</v>
      </c>
      <c r="K437" t="s">
        <v>16</v>
      </c>
      <c r="L437">
        <f t="shared" si="12"/>
        <v>1</v>
      </c>
      <c r="M437" t="str">
        <f t="shared" si="13"/>
        <v>18–34</v>
      </c>
    </row>
    <row r="438" spans="1:13">
      <c r="A438" t="s">
        <v>863</v>
      </c>
      <c r="B438" t="s">
        <v>864</v>
      </c>
      <c r="C438">
        <v>42</v>
      </c>
      <c r="D438" t="s">
        <v>13</v>
      </c>
      <c r="E438" s="2">
        <v>45952</v>
      </c>
      <c r="F438" s="2">
        <v>45955</v>
      </c>
      <c r="G438" t="s">
        <v>32</v>
      </c>
      <c r="H438" t="s">
        <v>36</v>
      </c>
      <c r="I438" s="3">
        <v>3292.07</v>
      </c>
      <c r="J438" s="4">
        <v>50</v>
      </c>
      <c r="K438" t="s">
        <v>16</v>
      </c>
      <c r="L438">
        <f t="shared" si="12"/>
        <v>3</v>
      </c>
      <c r="M438" t="str">
        <f t="shared" si="13"/>
        <v>35–49</v>
      </c>
    </row>
    <row r="439" spans="1:13">
      <c r="A439" t="s">
        <v>865</v>
      </c>
      <c r="B439" t="s">
        <v>631</v>
      </c>
      <c r="C439">
        <v>48</v>
      </c>
      <c r="D439" t="s">
        <v>13</v>
      </c>
      <c r="E439" s="2">
        <v>45292</v>
      </c>
      <c r="F439" s="2">
        <v>45296</v>
      </c>
      <c r="G439" t="s">
        <v>32</v>
      </c>
      <c r="H439" t="s">
        <v>45</v>
      </c>
      <c r="I439" s="3">
        <v>5249.64</v>
      </c>
      <c r="J439" s="4">
        <v>90</v>
      </c>
      <c r="K439" t="s">
        <v>16</v>
      </c>
      <c r="L439">
        <f t="shared" si="12"/>
        <v>4</v>
      </c>
      <c r="M439" t="str">
        <f t="shared" si="13"/>
        <v>35–49</v>
      </c>
    </row>
    <row r="440" spans="1:13">
      <c r="A440" t="s">
        <v>866</v>
      </c>
      <c r="B440" t="s">
        <v>867</v>
      </c>
      <c r="C440">
        <v>71</v>
      </c>
      <c r="D440" t="s">
        <v>13</v>
      </c>
      <c r="E440" s="2">
        <v>45885</v>
      </c>
      <c r="F440" s="2">
        <v>45890</v>
      </c>
      <c r="G440" t="s">
        <v>61</v>
      </c>
      <c r="H440" t="s">
        <v>78</v>
      </c>
      <c r="I440" s="3">
        <v>5726.98</v>
      </c>
      <c r="J440" s="4">
        <v>80</v>
      </c>
      <c r="K440" t="s">
        <v>16</v>
      </c>
      <c r="L440">
        <f t="shared" si="12"/>
        <v>5</v>
      </c>
      <c r="M440" t="str">
        <f t="shared" si="13"/>
        <v>65+</v>
      </c>
    </row>
    <row r="441" spans="1:13">
      <c r="A441" t="s">
        <v>868</v>
      </c>
      <c r="B441" t="s">
        <v>869</v>
      </c>
      <c r="C441">
        <v>16</v>
      </c>
      <c r="D441" t="s">
        <v>13</v>
      </c>
      <c r="E441" s="2">
        <v>45424</v>
      </c>
      <c r="F441" s="2">
        <v>45426</v>
      </c>
      <c r="G441" t="s">
        <v>50</v>
      </c>
      <c r="H441" t="s">
        <v>118</v>
      </c>
      <c r="I441" s="3">
        <v>3417.93</v>
      </c>
      <c r="J441" s="4">
        <v>100</v>
      </c>
      <c r="K441" t="s">
        <v>16</v>
      </c>
      <c r="L441">
        <f t="shared" si="12"/>
        <v>2</v>
      </c>
      <c r="M441" t="str">
        <f t="shared" si="13"/>
        <v>0–17</v>
      </c>
    </row>
    <row r="442" spans="1:13">
      <c r="A442" t="s">
        <v>870</v>
      </c>
      <c r="B442" t="s">
        <v>871</v>
      </c>
      <c r="C442">
        <v>73</v>
      </c>
      <c r="D442" t="s">
        <v>19</v>
      </c>
      <c r="E442" s="2">
        <v>45542</v>
      </c>
      <c r="F442" s="2">
        <v>45549</v>
      </c>
      <c r="G442" t="s">
        <v>32</v>
      </c>
      <c r="H442" t="s">
        <v>33</v>
      </c>
      <c r="I442" s="3">
        <v>4075.7</v>
      </c>
      <c r="J442" s="4">
        <v>100</v>
      </c>
      <c r="K442" t="s">
        <v>16</v>
      </c>
      <c r="L442">
        <f t="shared" si="12"/>
        <v>7</v>
      </c>
      <c r="M442" t="str">
        <f t="shared" si="13"/>
        <v>65+</v>
      </c>
    </row>
    <row r="443" spans="1:13">
      <c r="A443" t="s">
        <v>872</v>
      </c>
      <c r="B443" t="s">
        <v>873</v>
      </c>
      <c r="C443">
        <v>17</v>
      </c>
      <c r="D443" t="s">
        <v>13</v>
      </c>
      <c r="E443" s="2">
        <v>45707</v>
      </c>
      <c r="F443" s="2">
        <v>45709</v>
      </c>
      <c r="G443" t="s">
        <v>50</v>
      </c>
      <c r="H443" t="s">
        <v>118</v>
      </c>
      <c r="I443" s="3">
        <v>1245.26</v>
      </c>
      <c r="J443" s="4">
        <v>100</v>
      </c>
      <c r="K443" t="s">
        <v>16</v>
      </c>
      <c r="L443">
        <f t="shared" si="12"/>
        <v>2</v>
      </c>
      <c r="M443" t="str">
        <f t="shared" si="13"/>
        <v>0–17</v>
      </c>
    </row>
    <row r="444" spans="1:13">
      <c r="A444" t="s">
        <v>874</v>
      </c>
      <c r="B444" t="s">
        <v>875</v>
      </c>
      <c r="C444">
        <v>49</v>
      </c>
      <c r="D444" t="s">
        <v>13</v>
      </c>
      <c r="E444" s="2">
        <v>45904</v>
      </c>
      <c r="F444" s="2">
        <v>45905</v>
      </c>
      <c r="G444" t="s">
        <v>32</v>
      </c>
      <c r="H444" t="s">
        <v>88</v>
      </c>
      <c r="I444" s="3">
        <v>1338.57</v>
      </c>
      <c r="J444" s="4">
        <v>100</v>
      </c>
      <c r="K444" t="s">
        <v>21</v>
      </c>
      <c r="L444">
        <f t="shared" si="12"/>
        <v>1</v>
      </c>
      <c r="M444" t="str">
        <f t="shared" si="13"/>
        <v>35–49</v>
      </c>
    </row>
    <row r="445" spans="1:13">
      <c r="A445" t="s">
        <v>876</v>
      </c>
      <c r="B445" t="s">
        <v>623</v>
      </c>
      <c r="C445">
        <v>41</v>
      </c>
      <c r="D445" t="s">
        <v>19</v>
      </c>
      <c r="E445" s="2">
        <v>45761</v>
      </c>
      <c r="F445" s="2">
        <v>45768</v>
      </c>
      <c r="G445" t="s">
        <v>71</v>
      </c>
      <c r="H445" t="s">
        <v>296</v>
      </c>
      <c r="I445" s="3">
        <v>11778.46</v>
      </c>
      <c r="J445" s="4">
        <v>60</v>
      </c>
      <c r="K445" t="s">
        <v>26</v>
      </c>
      <c r="L445">
        <f t="shared" si="12"/>
        <v>7</v>
      </c>
      <c r="M445" t="str">
        <f t="shared" si="13"/>
        <v>35–49</v>
      </c>
    </row>
    <row r="446" spans="1:13">
      <c r="A446" t="s">
        <v>877</v>
      </c>
      <c r="B446" t="s">
        <v>878</v>
      </c>
      <c r="C446">
        <v>65</v>
      </c>
      <c r="D446" t="s">
        <v>13</v>
      </c>
      <c r="E446" s="2">
        <v>45675</v>
      </c>
      <c r="F446" s="2">
        <v>45678</v>
      </c>
      <c r="G446" t="s">
        <v>14</v>
      </c>
      <c r="H446" t="s">
        <v>166</v>
      </c>
      <c r="I446" s="3">
        <v>6875.63</v>
      </c>
      <c r="J446" s="4">
        <v>70</v>
      </c>
      <c r="K446" t="s">
        <v>21</v>
      </c>
      <c r="L446">
        <f t="shared" si="12"/>
        <v>3</v>
      </c>
      <c r="M446" t="str">
        <f t="shared" si="13"/>
        <v>65+</v>
      </c>
    </row>
    <row r="447" spans="1:13">
      <c r="A447" t="s">
        <v>879</v>
      </c>
      <c r="B447" t="s">
        <v>880</v>
      </c>
      <c r="C447">
        <v>36</v>
      </c>
      <c r="D447" t="s">
        <v>13</v>
      </c>
      <c r="E447" s="2">
        <v>45833</v>
      </c>
      <c r="F447" s="2">
        <v>45838</v>
      </c>
      <c r="G447" t="s">
        <v>32</v>
      </c>
      <c r="H447" t="s">
        <v>88</v>
      </c>
      <c r="I447" s="3">
        <v>4520</v>
      </c>
      <c r="J447" s="4">
        <v>90</v>
      </c>
      <c r="K447" t="s">
        <v>16</v>
      </c>
      <c r="L447">
        <f t="shared" si="12"/>
        <v>5</v>
      </c>
      <c r="M447" t="str">
        <f t="shared" si="13"/>
        <v>35–49</v>
      </c>
    </row>
    <row r="448" spans="1:13">
      <c r="A448" t="s">
        <v>881</v>
      </c>
      <c r="B448" t="s">
        <v>882</v>
      </c>
      <c r="C448">
        <v>47</v>
      </c>
      <c r="D448" t="s">
        <v>13</v>
      </c>
      <c r="E448" s="2">
        <v>45296</v>
      </c>
      <c r="F448" s="2">
        <v>45307</v>
      </c>
      <c r="G448" t="s">
        <v>61</v>
      </c>
      <c r="H448" t="s">
        <v>75</v>
      </c>
      <c r="I448" s="3">
        <v>11719.07</v>
      </c>
      <c r="J448" s="4">
        <v>80</v>
      </c>
      <c r="K448" t="s">
        <v>16</v>
      </c>
      <c r="L448">
        <f t="shared" si="12"/>
        <v>11</v>
      </c>
      <c r="M448" t="str">
        <f t="shared" si="13"/>
        <v>35–49</v>
      </c>
    </row>
    <row r="449" spans="1:13">
      <c r="A449" t="s">
        <v>883</v>
      </c>
      <c r="B449" t="s">
        <v>884</v>
      </c>
      <c r="C449">
        <v>74</v>
      </c>
      <c r="D449" t="s">
        <v>19</v>
      </c>
      <c r="E449" s="2">
        <v>45846</v>
      </c>
      <c r="F449" s="2">
        <v>45857</v>
      </c>
      <c r="G449" t="s">
        <v>71</v>
      </c>
      <c r="H449" t="s">
        <v>238</v>
      </c>
      <c r="I449" s="3">
        <v>13712.17</v>
      </c>
      <c r="J449" s="4">
        <v>80</v>
      </c>
      <c r="K449" t="s">
        <v>16</v>
      </c>
      <c r="L449">
        <f t="shared" si="12"/>
        <v>11</v>
      </c>
      <c r="M449" t="str">
        <f t="shared" si="13"/>
        <v>65+</v>
      </c>
    </row>
    <row r="450" spans="1:13">
      <c r="A450" t="s">
        <v>885</v>
      </c>
      <c r="B450" t="s">
        <v>291</v>
      </c>
      <c r="C450">
        <v>73</v>
      </c>
      <c r="D450" t="s">
        <v>13</v>
      </c>
      <c r="E450" s="2">
        <v>45540</v>
      </c>
      <c r="F450" s="2">
        <v>45541</v>
      </c>
      <c r="G450" t="s">
        <v>24</v>
      </c>
      <c r="H450" t="s">
        <v>205</v>
      </c>
      <c r="I450" s="3">
        <v>2492.86</v>
      </c>
      <c r="J450" s="4">
        <v>100</v>
      </c>
      <c r="K450" t="s">
        <v>16</v>
      </c>
      <c r="L450">
        <f t="shared" si="12"/>
        <v>1</v>
      </c>
      <c r="M450" t="str">
        <f t="shared" si="13"/>
        <v>65+</v>
      </c>
    </row>
    <row r="451" spans="1:13">
      <c r="A451" t="s">
        <v>886</v>
      </c>
      <c r="B451" t="s">
        <v>234</v>
      </c>
      <c r="C451">
        <v>19</v>
      </c>
      <c r="D451" t="s">
        <v>13</v>
      </c>
      <c r="E451" s="2">
        <v>45832</v>
      </c>
      <c r="F451" s="2">
        <v>45833</v>
      </c>
      <c r="G451" t="s">
        <v>24</v>
      </c>
      <c r="H451" t="s">
        <v>29</v>
      </c>
      <c r="I451" s="3">
        <v>1867.11</v>
      </c>
      <c r="J451" s="4">
        <v>80</v>
      </c>
      <c r="K451" t="s">
        <v>16</v>
      </c>
      <c r="L451">
        <f t="shared" ref="L451:L514" si="14">F451-E451</f>
        <v>1</v>
      </c>
      <c r="M451" t="str">
        <f t="shared" ref="M451:M514" si="15">IF(C451&lt;=17,"0–17",IF(C451&lt;=34,"18–34",IF(C451&lt;=49,"35–49",IF(C451&lt;=64,"50–64","65+"))))</f>
        <v>18–34</v>
      </c>
    </row>
    <row r="452" spans="1:13">
      <c r="A452" t="s">
        <v>887</v>
      </c>
      <c r="B452" t="s">
        <v>593</v>
      </c>
      <c r="C452">
        <v>68</v>
      </c>
      <c r="D452" t="s">
        <v>13</v>
      </c>
      <c r="E452" s="2">
        <v>45482</v>
      </c>
      <c r="F452" s="2">
        <v>45489</v>
      </c>
      <c r="G452" t="s">
        <v>14</v>
      </c>
      <c r="H452" t="s">
        <v>15</v>
      </c>
      <c r="I452" s="3">
        <v>9821.73</v>
      </c>
      <c r="J452" s="4">
        <v>80</v>
      </c>
      <c r="K452" t="s">
        <v>16</v>
      </c>
      <c r="L452">
        <f t="shared" si="14"/>
        <v>7</v>
      </c>
      <c r="M452" t="str">
        <f t="shared" si="15"/>
        <v>65+</v>
      </c>
    </row>
    <row r="453" spans="1:13">
      <c r="A453" t="s">
        <v>888</v>
      </c>
      <c r="B453" t="s">
        <v>889</v>
      </c>
      <c r="C453">
        <v>46</v>
      </c>
      <c r="D453" t="s">
        <v>19</v>
      </c>
      <c r="E453" s="2">
        <v>45382</v>
      </c>
      <c r="F453" s="2">
        <v>45389</v>
      </c>
      <c r="G453" t="s">
        <v>71</v>
      </c>
      <c r="H453" t="s">
        <v>72</v>
      </c>
      <c r="I453" s="3">
        <v>9183.36</v>
      </c>
      <c r="J453" s="4">
        <v>0</v>
      </c>
      <c r="K453" t="s">
        <v>21</v>
      </c>
      <c r="L453">
        <f t="shared" si="14"/>
        <v>7</v>
      </c>
      <c r="M453" t="str">
        <f t="shared" si="15"/>
        <v>35–49</v>
      </c>
    </row>
    <row r="454" spans="1:13">
      <c r="A454" t="s">
        <v>890</v>
      </c>
      <c r="B454" t="s">
        <v>891</v>
      </c>
      <c r="C454">
        <v>59</v>
      </c>
      <c r="D454" t="s">
        <v>13</v>
      </c>
      <c r="E454" s="2">
        <v>45680</v>
      </c>
      <c r="F454" s="2">
        <v>45682</v>
      </c>
      <c r="G454" t="s">
        <v>32</v>
      </c>
      <c r="H454" t="s">
        <v>88</v>
      </c>
      <c r="I454" s="3">
        <v>1293.94</v>
      </c>
      <c r="J454" s="4">
        <v>100</v>
      </c>
      <c r="K454" t="s">
        <v>16</v>
      </c>
      <c r="L454">
        <f t="shared" si="14"/>
        <v>2</v>
      </c>
      <c r="M454" t="str">
        <f t="shared" si="15"/>
        <v>50–64</v>
      </c>
    </row>
    <row r="455" spans="1:13">
      <c r="A455" t="s">
        <v>892</v>
      </c>
      <c r="B455" t="s">
        <v>530</v>
      </c>
      <c r="C455">
        <v>48</v>
      </c>
      <c r="D455" t="s">
        <v>19</v>
      </c>
      <c r="E455" s="2">
        <v>45586</v>
      </c>
      <c r="F455" s="2">
        <v>45595</v>
      </c>
      <c r="G455" t="s">
        <v>14</v>
      </c>
      <c r="H455" t="s">
        <v>166</v>
      </c>
      <c r="I455" s="3">
        <v>23400.73</v>
      </c>
      <c r="J455" s="4">
        <v>100</v>
      </c>
      <c r="K455" t="s">
        <v>16</v>
      </c>
      <c r="L455">
        <f t="shared" si="14"/>
        <v>9</v>
      </c>
      <c r="M455" t="str">
        <f t="shared" si="15"/>
        <v>35–49</v>
      </c>
    </row>
    <row r="456" spans="1:13">
      <c r="A456" t="s">
        <v>893</v>
      </c>
      <c r="B456" t="s">
        <v>894</v>
      </c>
      <c r="C456">
        <v>68</v>
      </c>
      <c r="D456" t="s">
        <v>19</v>
      </c>
      <c r="E456" s="2">
        <v>45966</v>
      </c>
      <c r="F456" s="2">
        <v>45971</v>
      </c>
      <c r="G456" t="s">
        <v>32</v>
      </c>
      <c r="H456" t="s">
        <v>33</v>
      </c>
      <c r="I456" s="3">
        <v>5575.83</v>
      </c>
      <c r="J456" s="4">
        <v>70</v>
      </c>
      <c r="K456" t="s">
        <v>16</v>
      </c>
      <c r="L456">
        <f t="shared" si="14"/>
        <v>5</v>
      </c>
      <c r="M456" t="str">
        <f t="shared" si="15"/>
        <v>65+</v>
      </c>
    </row>
    <row r="457" spans="1:13">
      <c r="A457" t="s">
        <v>895</v>
      </c>
      <c r="B457" t="s">
        <v>896</v>
      </c>
      <c r="C457">
        <v>22</v>
      </c>
      <c r="D457" t="s">
        <v>19</v>
      </c>
      <c r="E457" s="2">
        <v>45398</v>
      </c>
      <c r="F457" s="2">
        <v>45399</v>
      </c>
      <c r="G457" t="s">
        <v>32</v>
      </c>
      <c r="H457" t="s">
        <v>36</v>
      </c>
      <c r="I457" s="3">
        <v>711.37</v>
      </c>
      <c r="J457" s="4">
        <v>90</v>
      </c>
      <c r="K457" t="s">
        <v>21</v>
      </c>
      <c r="L457">
        <f t="shared" si="14"/>
        <v>1</v>
      </c>
      <c r="M457" t="str">
        <f t="shared" si="15"/>
        <v>18–34</v>
      </c>
    </row>
    <row r="458" spans="1:13">
      <c r="A458" t="s">
        <v>897</v>
      </c>
      <c r="B458" t="s">
        <v>898</v>
      </c>
      <c r="C458">
        <v>55</v>
      </c>
      <c r="D458" t="s">
        <v>13</v>
      </c>
      <c r="E458" s="2">
        <v>46014</v>
      </c>
      <c r="F458" s="2">
        <v>46017</v>
      </c>
      <c r="G458" t="s">
        <v>24</v>
      </c>
      <c r="H458" t="s">
        <v>222</v>
      </c>
      <c r="I458" s="3">
        <v>3304.36</v>
      </c>
      <c r="J458" s="4">
        <v>60</v>
      </c>
      <c r="K458" t="s">
        <v>16</v>
      </c>
      <c r="L458">
        <f t="shared" si="14"/>
        <v>3</v>
      </c>
      <c r="M458" t="str">
        <f t="shared" si="15"/>
        <v>50–64</v>
      </c>
    </row>
    <row r="459" spans="1:13">
      <c r="A459" t="s">
        <v>899</v>
      </c>
      <c r="B459" t="s">
        <v>840</v>
      </c>
      <c r="C459">
        <v>48</v>
      </c>
      <c r="D459" t="s">
        <v>13</v>
      </c>
      <c r="E459" s="2">
        <v>45354</v>
      </c>
      <c r="F459" s="2">
        <v>45362</v>
      </c>
      <c r="G459" t="s">
        <v>71</v>
      </c>
      <c r="H459" t="s">
        <v>238</v>
      </c>
      <c r="I459" s="3">
        <v>18171.34</v>
      </c>
      <c r="J459" s="4">
        <v>70</v>
      </c>
      <c r="K459" t="s">
        <v>26</v>
      </c>
      <c r="L459">
        <f t="shared" si="14"/>
        <v>8</v>
      </c>
      <c r="M459" t="str">
        <f t="shared" si="15"/>
        <v>35–49</v>
      </c>
    </row>
    <row r="460" spans="1:13">
      <c r="A460" t="s">
        <v>900</v>
      </c>
      <c r="B460" t="s">
        <v>409</v>
      </c>
      <c r="C460">
        <v>49</v>
      </c>
      <c r="D460" t="s">
        <v>19</v>
      </c>
      <c r="E460" s="2">
        <v>45470</v>
      </c>
      <c r="F460" s="2">
        <v>45482</v>
      </c>
      <c r="G460" t="s">
        <v>61</v>
      </c>
      <c r="H460" t="s">
        <v>143</v>
      </c>
      <c r="I460" s="3">
        <v>32666.57</v>
      </c>
      <c r="J460" s="4">
        <v>80</v>
      </c>
      <c r="K460" t="s">
        <v>26</v>
      </c>
      <c r="L460">
        <f t="shared" si="14"/>
        <v>12</v>
      </c>
      <c r="M460" t="str">
        <f t="shared" si="15"/>
        <v>35–49</v>
      </c>
    </row>
    <row r="461" spans="1:13">
      <c r="A461" t="s">
        <v>901</v>
      </c>
      <c r="B461" t="s">
        <v>603</v>
      </c>
      <c r="C461">
        <v>57</v>
      </c>
      <c r="D461" t="s">
        <v>13</v>
      </c>
      <c r="E461" s="2">
        <v>45350</v>
      </c>
      <c r="F461" s="2">
        <v>45356</v>
      </c>
      <c r="G461" t="s">
        <v>32</v>
      </c>
      <c r="H461" t="s">
        <v>36</v>
      </c>
      <c r="I461" s="3">
        <v>8770.94</v>
      </c>
      <c r="J461" s="4">
        <v>80</v>
      </c>
      <c r="K461" t="s">
        <v>16</v>
      </c>
      <c r="L461">
        <f t="shared" si="14"/>
        <v>6</v>
      </c>
      <c r="M461" t="str">
        <f t="shared" si="15"/>
        <v>50–64</v>
      </c>
    </row>
    <row r="462" spans="1:13">
      <c r="A462" t="s">
        <v>902</v>
      </c>
      <c r="B462" t="s">
        <v>903</v>
      </c>
      <c r="C462">
        <v>37</v>
      </c>
      <c r="D462" t="s">
        <v>13</v>
      </c>
      <c r="E462" s="2">
        <v>45721</v>
      </c>
      <c r="F462" s="2">
        <v>45724</v>
      </c>
      <c r="G462" t="s">
        <v>71</v>
      </c>
      <c r="H462" t="s">
        <v>195</v>
      </c>
      <c r="I462" s="3">
        <v>5722.85</v>
      </c>
      <c r="J462" s="4">
        <v>70</v>
      </c>
      <c r="K462" t="s">
        <v>26</v>
      </c>
      <c r="L462">
        <f t="shared" si="14"/>
        <v>3</v>
      </c>
      <c r="M462" t="str">
        <f t="shared" si="15"/>
        <v>35–49</v>
      </c>
    </row>
    <row r="463" spans="1:13">
      <c r="A463" t="s">
        <v>904</v>
      </c>
      <c r="B463" t="s">
        <v>905</v>
      </c>
      <c r="C463">
        <v>73</v>
      </c>
      <c r="D463" t="s">
        <v>19</v>
      </c>
      <c r="E463" s="2">
        <v>45599</v>
      </c>
      <c r="F463" s="2">
        <v>45600</v>
      </c>
      <c r="G463" t="s">
        <v>24</v>
      </c>
      <c r="H463" t="s">
        <v>334</v>
      </c>
      <c r="I463" s="3">
        <v>1228.01</v>
      </c>
      <c r="J463" s="4">
        <v>90</v>
      </c>
      <c r="K463" t="s">
        <v>16</v>
      </c>
      <c r="L463">
        <f t="shared" si="14"/>
        <v>1</v>
      </c>
      <c r="M463" t="str">
        <f t="shared" si="15"/>
        <v>65+</v>
      </c>
    </row>
    <row r="464" spans="1:13">
      <c r="A464" t="s">
        <v>906</v>
      </c>
      <c r="B464" t="s">
        <v>907</v>
      </c>
      <c r="C464">
        <v>78</v>
      </c>
      <c r="D464" t="s">
        <v>19</v>
      </c>
      <c r="E464" s="2">
        <v>45606</v>
      </c>
      <c r="F464" s="2">
        <v>45613</v>
      </c>
      <c r="G464" t="s">
        <v>32</v>
      </c>
      <c r="H464" t="s">
        <v>45</v>
      </c>
      <c r="I464" s="3">
        <v>8155.8</v>
      </c>
      <c r="J464" s="4">
        <v>80</v>
      </c>
      <c r="K464" t="s">
        <v>16</v>
      </c>
      <c r="L464">
        <f t="shared" si="14"/>
        <v>7</v>
      </c>
      <c r="M464" t="str">
        <f t="shared" si="15"/>
        <v>65+</v>
      </c>
    </row>
    <row r="465" spans="1:13">
      <c r="A465" t="s">
        <v>908</v>
      </c>
      <c r="B465" t="s">
        <v>909</v>
      </c>
      <c r="C465">
        <v>75</v>
      </c>
      <c r="D465" t="s">
        <v>19</v>
      </c>
      <c r="E465" s="2">
        <v>45431</v>
      </c>
      <c r="F465" s="2">
        <v>45442</v>
      </c>
      <c r="G465" t="s">
        <v>61</v>
      </c>
      <c r="H465" t="s">
        <v>143</v>
      </c>
      <c r="I465" s="3">
        <v>21834.98</v>
      </c>
      <c r="J465" s="4">
        <v>80</v>
      </c>
      <c r="K465" t="s">
        <v>16</v>
      </c>
      <c r="L465">
        <f t="shared" si="14"/>
        <v>11</v>
      </c>
      <c r="M465" t="str">
        <f t="shared" si="15"/>
        <v>65+</v>
      </c>
    </row>
    <row r="466" spans="1:13">
      <c r="A466" t="s">
        <v>910</v>
      </c>
      <c r="B466" t="s">
        <v>803</v>
      </c>
      <c r="C466">
        <v>51</v>
      </c>
      <c r="D466" t="s">
        <v>19</v>
      </c>
      <c r="E466" s="2">
        <v>46004</v>
      </c>
      <c r="F466" s="2">
        <v>46013</v>
      </c>
      <c r="G466" t="s">
        <v>61</v>
      </c>
      <c r="H466" t="s">
        <v>98</v>
      </c>
      <c r="I466" s="3">
        <v>24478.42</v>
      </c>
      <c r="J466" s="4">
        <v>70</v>
      </c>
      <c r="K466" t="s">
        <v>21</v>
      </c>
      <c r="L466">
        <f t="shared" si="14"/>
        <v>9</v>
      </c>
      <c r="M466" t="str">
        <f t="shared" si="15"/>
        <v>50–64</v>
      </c>
    </row>
    <row r="467" spans="1:13">
      <c r="A467" t="s">
        <v>911</v>
      </c>
      <c r="B467" t="s">
        <v>912</v>
      </c>
      <c r="C467">
        <v>24</v>
      </c>
      <c r="D467" t="s">
        <v>13</v>
      </c>
      <c r="E467" s="2">
        <v>45530</v>
      </c>
      <c r="F467" s="2">
        <v>45534</v>
      </c>
      <c r="G467" t="s">
        <v>32</v>
      </c>
      <c r="H467" t="s">
        <v>45</v>
      </c>
      <c r="I467" s="3">
        <v>3310.93</v>
      </c>
      <c r="J467" s="4">
        <v>50</v>
      </c>
      <c r="K467" t="s">
        <v>16</v>
      </c>
      <c r="L467">
        <f t="shared" si="14"/>
        <v>4</v>
      </c>
      <c r="M467" t="str">
        <f t="shared" si="15"/>
        <v>18–34</v>
      </c>
    </row>
    <row r="468" spans="1:13">
      <c r="A468" t="s">
        <v>913</v>
      </c>
      <c r="B468" t="s">
        <v>914</v>
      </c>
      <c r="C468">
        <v>11</v>
      </c>
      <c r="D468" t="s">
        <v>19</v>
      </c>
      <c r="E468" s="2">
        <v>45429</v>
      </c>
      <c r="F468" s="2">
        <v>45434</v>
      </c>
      <c r="G468" t="s">
        <v>50</v>
      </c>
      <c r="H468" t="s">
        <v>131</v>
      </c>
      <c r="I468" s="3">
        <v>3615.86</v>
      </c>
      <c r="J468" s="4">
        <v>70</v>
      </c>
      <c r="K468" t="s">
        <v>16</v>
      </c>
      <c r="L468">
        <f t="shared" si="14"/>
        <v>5</v>
      </c>
      <c r="M468" t="str">
        <f t="shared" si="15"/>
        <v>0–17</v>
      </c>
    </row>
    <row r="469" spans="1:13">
      <c r="A469" t="s">
        <v>915</v>
      </c>
      <c r="B469" t="s">
        <v>916</v>
      </c>
      <c r="C469">
        <v>71</v>
      </c>
      <c r="D469" t="s">
        <v>19</v>
      </c>
      <c r="E469" s="2">
        <v>45694</v>
      </c>
      <c r="F469" s="2">
        <v>45701</v>
      </c>
      <c r="G469" t="s">
        <v>14</v>
      </c>
      <c r="H469" t="s">
        <v>166</v>
      </c>
      <c r="I469" s="3">
        <v>14885.93</v>
      </c>
      <c r="J469" s="4">
        <v>90</v>
      </c>
      <c r="K469" t="s">
        <v>16</v>
      </c>
      <c r="L469">
        <f t="shared" si="14"/>
        <v>7</v>
      </c>
      <c r="M469" t="str">
        <f t="shared" si="15"/>
        <v>65+</v>
      </c>
    </row>
    <row r="470" spans="1:13">
      <c r="A470" t="s">
        <v>917</v>
      </c>
      <c r="B470" t="s">
        <v>842</v>
      </c>
      <c r="C470">
        <v>29</v>
      </c>
      <c r="D470" t="s">
        <v>19</v>
      </c>
      <c r="E470" s="2">
        <v>45296</v>
      </c>
      <c r="F470" s="2">
        <v>45310</v>
      </c>
      <c r="G470" t="s">
        <v>61</v>
      </c>
      <c r="H470" t="s">
        <v>134</v>
      </c>
      <c r="I470" s="3">
        <v>21594.51</v>
      </c>
      <c r="J470" s="4">
        <v>60</v>
      </c>
      <c r="K470" t="s">
        <v>16</v>
      </c>
      <c r="L470">
        <f t="shared" si="14"/>
        <v>14</v>
      </c>
      <c r="M470" t="str">
        <f t="shared" si="15"/>
        <v>18–34</v>
      </c>
    </row>
    <row r="471" spans="1:13">
      <c r="A471" t="s">
        <v>918</v>
      </c>
      <c r="B471" t="s">
        <v>513</v>
      </c>
      <c r="C471">
        <v>35</v>
      </c>
      <c r="D471" t="s">
        <v>13</v>
      </c>
      <c r="E471" s="2">
        <v>45907</v>
      </c>
      <c r="F471" s="2">
        <v>45918</v>
      </c>
      <c r="G471" t="s">
        <v>61</v>
      </c>
      <c r="H471" t="s">
        <v>62</v>
      </c>
      <c r="I471" s="3">
        <v>16660.509999999998</v>
      </c>
      <c r="J471" s="4">
        <v>70</v>
      </c>
      <c r="K471" t="s">
        <v>21</v>
      </c>
      <c r="L471">
        <f t="shared" si="14"/>
        <v>11</v>
      </c>
      <c r="M471" t="str">
        <f t="shared" si="15"/>
        <v>35–49</v>
      </c>
    </row>
    <row r="472" spans="1:13">
      <c r="A472" t="s">
        <v>919</v>
      </c>
      <c r="B472" t="s">
        <v>920</v>
      </c>
      <c r="C472">
        <v>9</v>
      </c>
      <c r="D472" t="s">
        <v>19</v>
      </c>
      <c r="E472" s="2">
        <v>45352</v>
      </c>
      <c r="F472" s="2">
        <v>45355</v>
      </c>
      <c r="G472" t="s">
        <v>50</v>
      </c>
      <c r="H472" t="s">
        <v>121</v>
      </c>
      <c r="I472" s="3">
        <v>5025.87</v>
      </c>
      <c r="J472" s="4">
        <v>80</v>
      </c>
      <c r="K472" t="s">
        <v>16</v>
      </c>
      <c r="L472">
        <f t="shared" si="14"/>
        <v>3</v>
      </c>
      <c r="M472" t="str">
        <f t="shared" si="15"/>
        <v>0–17</v>
      </c>
    </row>
    <row r="473" spans="1:13">
      <c r="A473" t="s">
        <v>921</v>
      </c>
      <c r="B473" t="s">
        <v>192</v>
      </c>
      <c r="C473">
        <v>64</v>
      </c>
      <c r="D473" t="s">
        <v>19</v>
      </c>
      <c r="E473" s="2">
        <v>45437</v>
      </c>
      <c r="F473" s="2">
        <v>45439</v>
      </c>
      <c r="G473" t="s">
        <v>61</v>
      </c>
      <c r="H473" t="s">
        <v>78</v>
      </c>
      <c r="I473" s="3">
        <v>3693.42</v>
      </c>
      <c r="J473" s="4">
        <v>90</v>
      </c>
      <c r="K473" t="s">
        <v>16</v>
      </c>
      <c r="L473">
        <f t="shared" si="14"/>
        <v>2</v>
      </c>
      <c r="M473" t="str">
        <f t="shared" si="15"/>
        <v>50–64</v>
      </c>
    </row>
    <row r="474" spans="1:13">
      <c r="A474" t="s">
        <v>922</v>
      </c>
      <c r="B474" t="s">
        <v>923</v>
      </c>
      <c r="C474">
        <v>11</v>
      </c>
      <c r="D474" t="s">
        <v>13</v>
      </c>
      <c r="E474" s="2">
        <v>45819</v>
      </c>
      <c r="F474" s="2">
        <v>45823</v>
      </c>
      <c r="G474" t="s">
        <v>50</v>
      </c>
      <c r="H474" t="s">
        <v>131</v>
      </c>
      <c r="I474" s="3">
        <v>6070.15</v>
      </c>
      <c r="J474" s="4">
        <v>70</v>
      </c>
      <c r="K474" t="s">
        <v>16</v>
      </c>
      <c r="L474">
        <f t="shared" si="14"/>
        <v>4</v>
      </c>
      <c r="M474" t="str">
        <f t="shared" si="15"/>
        <v>0–17</v>
      </c>
    </row>
    <row r="475" spans="1:13">
      <c r="A475" t="s">
        <v>924</v>
      </c>
      <c r="B475" t="s">
        <v>925</v>
      </c>
      <c r="C475">
        <v>78</v>
      </c>
      <c r="D475" t="s">
        <v>13</v>
      </c>
      <c r="E475" s="2">
        <v>45783</v>
      </c>
      <c r="F475" s="2">
        <v>45784</v>
      </c>
      <c r="G475" t="s">
        <v>32</v>
      </c>
      <c r="H475" t="s">
        <v>36</v>
      </c>
      <c r="I475" s="3">
        <v>1488.89</v>
      </c>
      <c r="J475" s="4">
        <v>80</v>
      </c>
      <c r="K475" t="s">
        <v>16</v>
      </c>
      <c r="L475">
        <f t="shared" si="14"/>
        <v>1</v>
      </c>
      <c r="M475" t="str">
        <f t="shared" si="15"/>
        <v>65+</v>
      </c>
    </row>
    <row r="476" spans="1:13">
      <c r="A476" t="s">
        <v>926</v>
      </c>
      <c r="B476" t="s">
        <v>56</v>
      </c>
      <c r="C476">
        <v>64</v>
      </c>
      <c r="D476" t="s">
        <v>13</v>
      </c>
      <c r="E476" s="2">
        <v>45477</v>
      </c>
      <c r="F476" s="2">
        <v>45480</v>
      </c>
      <c r="G476" t="s">
        <v>32</v>
      </c>
      <c r="H476" t="s">
        <v>36</v>
      </c>
      <c r="I476" s="3">
        <v>3173.52</v>
      </c>
      <c r="J476" s="4">
        <v>90</v>
      </c>
      <c r="K476" t="s">
        <v>26</v>
      </c>
      <c r="L476">
        <f t="shared" si="14"/>
        <v>3</v>
      </c>
      <c r="M476" t="str">
        <f t="shared" si="15"/>
        <v>50–64</v>
      </c>
    </row>
    <row r="477" spans="1:13">
      <c r="A477" t="s">
        <v>927</v>
      </c>
      <c r="B477" t="s">
        <v>928</v>
      </c>
      <c r="C477">
        <v>38</v>
      </c>
      <c r="D477" t="s">
        <v>19</v>
      </c>
      <c r="E477" s="2">
        <v>45770</v>
      </c>
      <c r="F477" s="2">
        <v>45779</v>
      </c>
      <c r="G477" t="s">
        <v>61</v>
      </c>
      <c r="H477" t="s">
        <v>62</v>
      </c>
      <c r="I477" s="3">
        <v>12100.26</v>
      </c>
      <c r="J477" s="4">
        <v>90</v>
      </c>
      <c r="K477" t="s">
        <v>26</v>
      </c>
      <c r="L477">
        <f t="shared" si="14"/>
        <v>9</v>
      </c>
      <c r="M477" t="str">
        <f t="shared" si="15"/>
        <v>35–49</v>
      </c>
    </row>
    <row r="478" spans="1:13">
      <c r="A478" t="s">
        <v>929</v>
      </c>
      <c r="B478" t="s">
        <v>331</v>
      </c>
      <c r="C478">
        <v>66</v>
      </c>
      <c r="D478" t="s">
        <v>19</v>
      </c>
      <c r="E478" s="2">
        <v>45343</v>
      </c>
      <c r="F478" s="2">
        <v>45349</v>
      </c>
      <c r="G478" t="s">
        <v>14</v>
      </c>
      <c r="H478" t="s">
        <v>39</v>
      </c>
      <c r="I478" s="3">
        <v>17141</v>
      </c>
      <c r="J478" s="4">
        <v>90</v>
      </c>
      <c r="K478" t="s">
        <v>16</v>
      </c>
      <c r="L478">
        <f t="shared" si="14"/>
        <v>6</v>
      </c>
      <c r="M478" t="str">
        <f t="shared" si="15"/>
        <v>65+</v>
      </c>
    </row>
    <row r="479" spans="1:13">
      <c r="A479" t="s">
        <v>930</v>
      </c>
      <c r="B479" t="s">
        <v>219</v>
      </c>
      <c r="C479">
        <v>36</v>
      </c>
      <c r="D479" t="s">
        <v>19</v>
      </c>
      <c r="E479" s="2">
        <v>45683</v>
      </c>
      <c r="F479" s="2">
        <v>45684</v>
      </c>
      <c r="G479" t="s">
        <v>24</v>
      </c>
      <c r="H479" t="s">
        <v>205</v>
      </c>
      <c r="I479" s="3">
        <v>1576.85</v>
      </c>
      <c r="J479" s="4">
        <v>80</v>
      </c>
      <c r="K479" t="s">
        <v>21</v>
      </c>
      <c r="L479">
        <f t="shared" si="14"/>
        <v>1</v>
      </c>
      <c r="M479" t="str">
        <f t="shared" si="15"/>
        <v>35–49</v>
      </c>
    </row>
    <row r="480" spans="1:13">
      <c r="A480" t="s">
        <v>931</v>
      </c>
      <c r="B480" t="s">
        <v>629</v>
      </c>
      <c r="C480">
        <v>54</v>
      </c>
      <c r="D480" t="s">
        <v>13</v>
      </c>
      <c r="E480" s="2">
        <v>45504</v>
      </c>
      <c r="F480" s="2">
        <v>45505</v>
      </c>
      <c r="G480" t="s">
        <v>32</v>
      </c>
      <c r="H480" t="s">
        <v>54</v>
      </c>
      <c r="I480" s="3">
        <v>534.38</v>
      </c>
      <c r="J480" s="4">
        <v>80</v>
      </c>
      <c r="K480" t="s">
        <v>16</v>
      </c>
      <c r="L480">
        <f t="shared" si="14"/>
        <v>1</v>
      </c>
      <c r="M480" t="str">
        <f t="shared" si="15"/>
        <v>50–64</v>
      </c>
    </row>
    <row r="481" spans="1:13">
      <c r="A481" t="s">
        <v>932</v>
      </c>
      <c r="B481" t="s">
        <v>933</v>
      </c>
      <c r="C481">
        <v>1</v>
      </c>
      <c r="D481" t="s">
        <v>19</v>
      </c>
      <c r="E481" s="2">
        <v>45300</v>
      </c>
      <c r="F481" s="2">
        <v>45301</v>
      </c>
      <c r="G481" t="s">
        <v>50</v>
      </c>
      <c r="H481" t="s">
        <v>124</v>
      </c>
      <c r="I481" s="3">
        <v>728.22</v>
      </c>
      <c r="J481" s="4">
        <v>60</v>
      </c>
      <c r="K481" t="s">
        <v>16</v>
      </c>
      <c r="L481">
        <f t="shared" si="14"/>
        <v>1</v>
      </c>
      <c r="M481" t="str">
        <f t="shared" si="15"/>
        <v>0–17</v>
      </c>
    </row>
    <row r="482" spans="1:13">
      <c r="A482" t="s">
        <v>934</v>
      </c>
      <c r="B482" t="s">
        <v>12</v>
      </c>
      <c r="C482">
        <v>29</v>
      </c>
      <c r="D482" t="s">
        <v>13</v>
      </c>
      <c r="E482" s="2">
        <v>45847</v>
      </c>
      <c r="F482" s="2">
        <v>45853</v>
      </c>
      <c r="G482" t="s">
        <v>61</v>
      </c>
      <c r="H482" t="s">
        <v>143</v>
      </c>
      <c r="I482" s="3">
        <v>12100.99</v>
      </c>
      <c r="J482" s="4">
        <v>100</v>
      </c>
      <c r="K482" t="s">
        <v>21</v>
      </c>
      <c r="L482">
        <f t="shared" si="14"/>
        <v>6</v>
      </c>
      <c r="M482" t="str">
        <f t="shared" si="15"/>
        <v>18–34</v>
      </c>
    </row>
    <row r="483" spans="1:13">
      <c r="A483" t="s">
        <v>935</v>
      </c>
      <c r="B483" t="s">
        <v>936</v>
      </c>
      <c r="C483">
        <v>77</v>
      </c>
      <c r="D483" t="s">
        <v>19</v>
      </c>
      <c r="E483" s="2">
        <v>45791</v>
      </c>
      <c r="F483" s="2">
        <v>45797</v>
      </c>
      <c r="G483" t="s">
        <v>14</v>
      </c>
      <c r="H483" t="s">
        <v>15</v>
      </c>
      <c r="I483" s="3">
        <v>8417.51</v>
      </c>
      <c r="J483" s="4">
        <v>70</v>
      </c>
      <c r="K483" t="s">
        <v>26</v>
      </c>
      <c r="L483">
        <f t="shared" si="14"/>
        <v>6</v>
      </c>
      <c r="M483" t="str">
        <f t="shared" si="15"/>
        <v>65+</v>
      </c>
    </row>
    <row r="484" spans="1:13">
      <c r="A484" t="s">
        <v>937</v>
      </c>
      <c r="B484" t="s">
        <v>871</v>
      </c>
      <c r="C484">
        <v>82</v>
      </c>
      <c r="D484" t="s">
        <v>19</v>
      </c>
      <c r="E484" s="2">
        <v>45519</v>
      </c>
      <c r="F484" s="2">
        <v>45522</v>
      </c>
      <c r="G484" t="s">
        <v>14</v>
      </c>
      <c r="H484" t="s">
        <v>166</v>
      </c>
      <c r="I484" s="3">
        <v>4494.01</v>
      </c>
      <c r="J484" s="4">
        <v>50</v>
      </c>
      <c r="K484" t="s">
        <v>26</v>
      </c>
      <c r="L484">
        <f t="shared" si="14"/>
        <v>3</v>
      </c>
      <c r="M484" t="str">
        <f t="shared" si="15"/>
        <v>65+</v>
      </c>
    </row>
    <row r="485" spans="1:13">
      <c r="A485" t="s">
        <v>938</v>
      </c>
      <c r="B485" t="s">
        <v>939</v>
      </c>
      <c r="C485">
        <v>2</v>
      </c>
      <c r="D485" t="s">
        <v>13</v>
      </c>
      <c r="E485" s="2">
        <v>45360</v>
      </c>
      <c r="F485" s="2">
        <v>45364</v>
      </c>
      <c r="G485" t="s">
        <v>50</v>
      </c>
      <c r="H485" t="s">
        <v>124</v>
      </c>
      <c r="I485" s="3">
        <v>3929.21</v>
      </c>
      <c r="J485" s="4">
        <v>90</v>
      </c>
      <c r="K485" t="s">
        <v>21</v>
      </c>
      <c r="L485">
        <f t="shared" si="14"/>
        <v>4</v>
      </c>
      <c r="M485" t="str">
        <f t="shared" si="15"/>
        <v>0–17</v>
      </c>
    </row>
    <row r="486" spans="1:13">
      <c r="A486" t="s">
        <v>940</v>
      </c>
      <c r="B486" t="s">
        <v>855</v>
      </c>
      <c r="C486">
        <v>48</v>
      </c>
      <c r="D486" t="s">
        <v>19</v>
      </c>
      <c r="E486" s="2">
        <v>45983</v>
      </c>
      <c r="F486" s="2">
        <v>45997</v>
      </c>
      <c r="G486" t="s">
        <v>61</v>
      </c>
      <c r="H486" t="s">
        <v>78</v>
      </c>
      <c r="I486" s="3">
        <v>24600.43</v>
      </c>
      <c r="J486" s="4">
        <v>70</v>
      </c>
      <c r="K486" t="s">
        <v>21</v>
      </c>
      <c r="L486">
        <f t="shared" si="14"/>
        <v>14</v>
      </c>
      <c r="M486" t="str">
        <f t="shared" si="15"/>
        <v>35–49</v>
      </c>
    </row>
    <row r="487" spans="1:13">
      <c r="A487" t="s">
        <v>941</v>
      </c>
      <c r="B487" t="s">
        <v>942</v>
      </c>
      <c r="C487">
        <v>60</v>
      </c>
      <c r="D487" t="s">
        <v>13</v>
      </c>
      <c r="E487" s="2">
        <v>45438</v>
      </c>
      <c r="F487" s="2">
        <v>45441</v>
      </c>
      <c r="G487" t="s">
        <v>24</v>
      </c>
      <c r="H487" t="s">
        <v>83</v>
      </c>
      <c r="I487" s="3">
        <v>4928.0600000000004</v>
      </c>
      <c r="J487" s="4">
        <v>60</v>
      </c>
      <c r="K487" t="s">
        <v>26</v>
      </c>
      <c r="L487">
        <f t="shared" si="14"/>
        <v>3</v>
      </c>
      <c r="M487" t="str">
        <f t="shared" si="15"/>
        <v>50–64</v>
      </c>
    </row>
    <row r="488" spans="1:13">
      <c r="A488" t="s">
        <v>943</v>
      </c>
      <c r="B488" t="s">
        <v>100</v>
      </c>
      <c r="C488">
        <v>69</v>
      </c>
      <c r="D488" t="s">
        <v>19</v>
      </c>
      <c r="E488" s="2">
        <v>45686</v>
      </c>
      <c r="F488" s="2">
        <v>45687</v>
      </c>
      <c r="G488" t="s">
        <v>24</v>
      </c>
      <c r="H488" t="s">
        <v>29</v>
      </c>
      <c r="I488" s="3">
        <v>1292.28</v>
      </c>
      <c r="J488" s="4">
        <v>100</v>
      </c>
      <c r="K488" t="s">
        <v>16</v>
      </c>
      <c r="L488">
        <f t="shared" si="14"/>
        <v>1</v>
      </c>
      <c r="M488" t="str">
        <f t="shared" si="15"/>
        <v>65+</v>
      </c>
    </row>
    <row r="489" spans="1:13">
      <c r="A489" t="s">
        <v>944</v>
      </c>
      <c r="B489" t="s">
        <v>945</v>
      </c>
      <c r="C489">
        <v>14</v>
      </c>
      <c r="D489" t="s">
        <v>19</v>
      </c>
      <c r="E489" s="2">
        <v>45598</v>
      </c>
      <c r="F489" s="2">
        <v>45601</v>
      </c>
      <c r="G489" t="s">
        <v>50</v>
      </c>
      <c r="H489" t="s">
        <v>131</v>
      </c>
      <c r="I489" s="3">
        <v>3900.85</v>
      </c>
      <c r="J489" s="4">
        <v>90</v>
      </c>
      <c r="K489" t="s">
        <v>16</v>
      </c>
      <c r="L489">
        <f t="shared" si="14"/>
        <v>3</v>
      </c>
      <c r="M489" t="str">
        <f t="shared" si="15"/>
        <v>0–17</v>
      </c>
    </row>
    <row r="490" spans="1:13">
      <c r="A490" t="s">
        <v>946</v>
      </c>
      <c r="B490" t="s">
        <v>947</v>
      </c>
      <c r="C490">
        <v>39</v>
      </c>
      <c r="D490" t="s">
        <v>19</v>
      </c>
      <c r="E490" s="2">
        <v>45771</v>
      </c>
      <c r="F490" s="2">
        <v>45776</v>
      </c>
      <c r="G490" t="s">
        <v>32</v>
      </c>
      <c r="H490" t="s">
        <v>235</v>
      </c>
      <c r="I490" s="3">
        <v>2872.81</v>
      </c>
      <c r="J490" s="4">
        <v>100</v>
      </c>
      <c r="K490" t="s">
        <v>21</v>
      </c>
      <c r="L490">
        <f t="shared" si="14"/>
        <v>5</v>
      </c>
      <c r="M490" t="str">
        <f t="shared" si="15"/>
        <v>35–49</v>
      </c>
    </row>
    <row r="491" spans="1:13">
      <c r="A491" t="s">
        <v>948</v>
      </c>
      <c r="B491" t="s">
        <v>949</v>
      </c>
      <c r="C491">
        <v>43</v>
      </c>
      <c r="D491" t="s">
        <v>19</v>
      </c>
      <c r="E491" s="2">
        <v>45975</v>
      </c>
      <c r="F491" s="2">
        <v>45984</v>
      </c>
      <c r="G491" t="s">
        <v>61</v>
      </c>
      <c r="H491" t="s">
        <v>98</v>
      </c>
      <c r="I491" s="3">
        <v>16993.79</v>
      </c>
      <c r="J491" s="4">
        <v>70</v>
      </c>
      <c r="K491" t="s">
        <v>26</v>
      </c>
      <c r="L491">
        <f t="shared" si="14"/>
        <v>9</v>
      </c>
      <c r="M491" t="str">
        <f t="shared" si="15"/>
        <v>35–49</v>
      </c>
    </row>
    <row r="492" spans="1:13">
      <c r="A492" t="s">
        <v>950</v>
      </c>
      <c r="B492" t="s">
        <v>951</v>
      </c>
      <c r="C492">
        <v>11</v>
      </c>
      <c r="D492" t="s">
        <v>13</v>
      </c>
      <c r="E492" s="2">
        <v>45979</v>
      </c>
      <c r="F492" s="2">
        <v>45983</v>
      </c>
      <c r="G492" t="s">
        <v>50</v>
      </c>
      <c r="H492" t="s">
        <v>379</v>
      </c>
      <c r="I492" s="3">
        <v>4693.3500000000004</v>
      </c>
      <c r="J492" s="4">
        <v>80</v>
      </c>
      <c r="K492" t="s">
        <v>16</v>
      </c>
      <c r="L492">
        <f t="shared" si="14"/>
        <v>4</v>
      </c>
      <c r="M492" t="str">
        <f t="shared" si="15"/>
        <v>0–17</v>
      </c>
    </row>
    <row r="493" spans="1:13">
      <c r="A493" t="s">
        <v>952</v>
      </c>
      <c r="B493" t="s">
        <v>953</v>
      </c>
      <c r="C493">
        <v>71</v>
      </c>
      <c r="D493" t="s">
        <v>19</v>
      </c>
      <c r="E493" s="2">
        <v>45990</v>
      </c>
      <c r="F493" s="2">
        <v>45991</v>
      </c>
      <c r="G493" t="s">
        <v>24</v>
      </c>
      <c r="H493" t="s">
        <v>222</v>
      </c>
      <c r="I493" s="3">
        <v>2381.67</v>
      </c>
      <c r="J493" s="4">
        <v>60</v>
      </c>
      <c r="K493" t="s">
        <v>26</v>
      </c>
      <c r="L493">
        <f t="shared" si="14"/>
        <v>1</v>
      </c>
      <c r="M493" t="str">
        <f t="shared" si="15"/>
        <v>65+</v>
      </c>
    </row>
    <row r="494" spans="1:13">
      <c r="A494" t="s">
        <v>954</v>
      </c>
      <c r="B494" t="s">
        <v>955</v>
      </c>
      <c r="C494">
        <v>14</v>
      </c>
      <c r="D494" t="s">
        <v>13</v>
      </c>
      <c r="E494" s="2">
        <v>45387</v>
      </c>
      <c r="F494" s="2">
        <v>45389</v>
      </c>
      <c r="G494" t="s">
        <v>50</v>
      </c>
      <c r="H494" t="s">
        <v>118</v>
      </c>
      <c r="I494" s="3">
        <v>3014.2</v>
      </c>
      <c r="J494" s="4">
        <v>60</v>
      </c>
      <c r="K494" t="s">
        <v>21</v>
      </c>
      <c r="L494">
        <f t="shared" si="14"/>
        <v>2</v>
      </c>
      <c r="M494" t="str">
        <f t="shared" si="15"/>
        <v>0–17</v>
      </c>
    </row>
    <row r="495" spans="1:13">
      <c r="A495" t="s">
        <v>956</v>
      </c>
      <c r="B495" t="s">
        <v>957</v>
      </c>
      <c r="C495">
        <v>45</v>
      </c>
      <c r="D495" t="s">
        <v>19</v>
      </c>
      <c r="E495" s="2">
        <v>45431</v>
      </c>
      <c r="F495" s="2">
        <v>45439</v>
      </c>
      <c r="G495" t="s">
        <v>71</v>
      </c>
      <c r="H495" t="s">
        <v>296</v>
      </c>
      <c r="I495" s="3">
        <v>13434.66</v>
      </c>
      <c r="J495" s="4">
        <v>60</v>
      </c>
      <c r="K495" t="s">
        <v>21</v>
      </c>
      <c r="L495">
        <f t="shared" si="14"/>
        <v>8</v>
      </c>
      <c r="M495" t="str">
        <f t="shared" si="15"/>
        <v>35–49</v>
      </c>
    </row>
    <row r="496" spans="1:13">
      <c r="A496" t="s">
        <v>958</v>
      </c>
      <c r="B496" t="s">
        <v>959</v>
      </c>
      <c r="C496">
        <v>29</v>
      </c>
      <c r="D496" t="s">
        <v>13</v>
      </c>
      <c r="E496" s="2">
        <v>45792</v>
      </c>
      <c r="F496" s="2">
        <v>45803</v>
      </c>
      <c r="G496" t="s">
        <v>61</v>
      </c>
      <c r="H496" t="s">
        <v>143</v>
      </c>
      <c r="I496" s="3">
        <v>13647.71</v>
      </c>
      <c r="J496" s="4">
        <v>50</v>
      </c>
      <c r="K496" t="s">
        <v>16</v>
      </c>
      <c r="L496">
        <f t="shared" si="14"/>
        <v>11</v>
      </c>
      <c r="M496" t="str">
        <f t="shared" si="15"/>
        <v>18–34</v>
      </c>
    </row>
    <row r="497" spans="1:13">
      <c r="A497" t="s">
        <v>960</v>
      </c>
      <c r="B497" t="s">
        <v>961</v>
      </c>
      <c r="C497">
        <v>44</v>
      </c>
      <c r="D497" t="s">
        <v>13</v>
      </c>
      <c r="E497" s="2">
        <v>45932</v>
      </c>
      <c r="F497" s="2">
        <v>45934</v>
      </c>
      <c r="G497" t="s">
        <v>61</v>
      </c>
      <c r="H497" t="s">
        <v>134</v>
      </c>
      <c r="I497" s="3">
        <v>4992.76</v>
      </c>
      <c r="J497" s="4">
        <v>60</v>
      </c>
      <c r="K497" t="s">
        <v>16</v>
      </c>
      <c r="L497">
        <f t="shared" si="14"/>
        <v>2</v>
      </c>
      <c r="M497" t="str">
        <f t="shared" si="15"/>
        <v>35–49</v>
      </c>
    </row>
    <row r="498" spans="1:13">
      <c r="A498" t="s">
        <v>962</v>
      </c>
      <c r="B498" t="s">
        <v>963</v>
      </c>
      <c r="C498">
        <v>42</v>
      </c>
      <c r="D498" t="s">
        <v>13</v>
      </c>
      <c r="E498" s="2">
        <v>45657</v>
      </c>
      <c r="F498" s="2">
        <v>45659</v>
      </c>
      <c r="G498" t="s">
        <v>24</v>
      </c>
      <c r="H498" t="s">
        <v>42</v>
      </c>
      <c r="I498" s="3">
        <v>4370.5</v>
      </c>
      <c r="J498" s="4">
        <v>70</v>
      </c>
      <c r="K498" t="s">
        <v>21</v>
      </c>
      <c r="L498">
        <f t="shared" si="14"/>
        <v>2</v>
      </c>
      <c r="M498" t="str">
        <f t="shared" si="15"/>
        <v>35–49</v>
      </c>
    </row>
    <row r="499" spans="1:13">
      <c r="A499" t="s">
        <v>964</v>
      </c>
      <c r="B499" t="s">
        <v>965</v>
      </c>
      <c r="C499">
        <v>48</v>
      </c>
      <c r="D499" t="s">
        <v>19</v>
      </c>
      <c r="E499" s="2">
        <v>45661</v>
      </c>
      <c r="F499" s="2">
        <v>45665</v>
      </c>
      <c r="G499" t="s">
        <v>32</v>
      </c>
      <c r="H499" t="s">
        <v>88</v>
      </c>
      <c r="I499" s="3">
        <v>3007.7</v>
      </c>
      <c r="J499" s="4">
        <v>80</v>
      </c>
      <c r="K499" t="s">
        <v>21</v>
      </c>
      <c r="L499">
        <f t="shared" si="14"/>
        <v>4</v>
      </c>
      <c r="M499" t="str">
        <f t="shared" si="15"/>
        <v>35–49</v>
      </c>
    </row>
    <row r="500" spans="1:13">
      <c r="A500" t="s">
        <v>966</v>
      </c>
      <c r="B500" t="s">
        <v>967</v>
      </c>
      <c r="C500">
        <v>50</v>
      </c>
      <c r="D500" t="s">
        <v>19</v>
      </c>
      <c r="E500" s="2">
        <v>45666</v>
      </c>
      <c r="F500" s="2">
        <v>45673</v>
      </c>
      <c r="G500" t="s">
        <v>71</v>
      </c>
      <c r="H500" t="s">
        <v>95</v>
      </c>
      <c r="I500" s="3">
        <v>17578.87</v>
      </c>
      <c r="J500" s="4">
        <v>80</v>
      </c>
      <c r="K500" t="s">
        <v>16</v>
      </c>
      <c r="L500">
        <f t="shared" si="14"/>
        <v>7</v>
      </c>
      <c r="M500" t="str">
        <f t="shared" si="15"/>
        <v>50–64</v>
      </c>
    </row>
    <row r="501" spans="1:13">
      <c r="A501" t="s">
        <v>968</v>
      </c>
      <c r="B501" t="s">
        <v>738</v>
      </c>
      <c r="C501">
        <v>78</v>
      </c>
      <c r="D501" t="s">
        <v>13</v>
      </c>
      <c r="E501" s="2">
        <v>45910</v>
      </c>
      <c r="F501" s="2">
        <v>45912</v>
      </c>
      <c r="G501" t="s">
        <v>32</v>
      </c>
      <c r="H501" t="s">
        <v>54</v>
      </c>
      <c r="I501" s="3">
        <v>1203.76</v>
      </c>
      <c r="J501" s="4">
        <v>90</v>
      </c>
      <c r="K501" t="s">
        <v>21</v>
      </c>
      <c r="L501">
        <f t="shared" si="14"/>
        <v>2</v>
      </c>
      <c r="M501" t="str">
        <f t="shared" si="15"/>
        <v>65+</v>
      </c>
    </row>
    <row r="502" spans="1:13">
      <c r="A502" t="s">
        <v>969</v>
      </c>
      <c r="B502" t="s">
        <v>970</v>
      </c>
      <c r="C502">
        <v>22</v>
      </c>
      <c r="D502" t="s">
        <v>19</v>
      </c>
      <c r="E502" s="2">
        <v>45639</v>
      </c>
      <c r="F502" s="2">
        <v>45642</v>
      </c>
      <c r="G502" t="s">
        <v>24</v>
      </c>
      <c r="H502" t="s">
        <v>25</v>
      </c>
      <c r="I502" s="3">
        <v>2453.12</v>
      </c>
      <c r="J502" s="4">
        <v>50</v>
      </c>
      <c r="K502" t="s">
        <v>16</v>
      </c>
      <c r="L502">
        <f t="shared" si="14"/>
        <v>3</v>
      </c>
      <c r="M502" t="str">
        <f t="shared" si="15"/>
        <v>18–34</v>
      </c>
    </row>
    <row r="503" spans="1:13">
      <c r="A503" t="s">
        <v>971</v>
      </c>
      <c r="B503" t="s">
        <v>972</v>
      </c>
      <c r="C503">
        <v>64</v>
      </c>
      <c r="D503" t="s">
        <v>13</v>
      </c>
      <c r="E503" s="2">
        <v>45410</v>
      </c>
      <c r="F503" s="2">
        <v>45413</v>
      </c>
      <c r="G503" t="s">
        <v>14</v>
      </c>
      <c r="H503" t="s">
        <v>103</v>
      </c>
      <c r="I503" s="3">
        <v>6452.72</v>
      </c>
      <c r="J503" s="4">
        <v>70</v>
      </c>
      <c r="K503" t="s">
        <v>16</v>
      </c>
      <c r="L503">
        <f t="shared" si="14"/>
        <v>3</v>
      </c>
      <c r="M503" t="str">
        <f t="shared" si="15"/>
        <v>50–64</v>
      </c>
    </row>
    <row r="504" spans="1:13">
      <c r="A504" t="s">
        <v>973</v>
      </c>
      <c r="B504" t="s">
        <v>974</v>
      </c>
      <c r="C504">
        <v>10</v>
      </c>
      <c r="D504" t="s">
        <v>19</v>
      </c>
      <c r="E504" s="2">
        <v>45504</v>
      </c>
      <c r="F504" s="2">
        <v>45507</v>
      </c>
      <c r="G504" t="s">
        <v>50</v>
      </c>
      <c r="H504" t="s">
        <v>51</v>
      </c>
      <c r="I504" s="3">
        <v>3215.48</v>
      </c>
      <c r="J504" s="4">
        <v>90</v>
      </c>
      <c r="K504" t="s">
        <v>16</v>
      </c>
      <c r="L504">
        <f t="shared" si="14"/>
        <v>3</v>
      </c>
      <c r="M504" t="str">
        <f t="shared" si="15"/>
        <v>0–17</v>
      </c>
    </row>
    <row r="505" spans="1:13">
      <c r="A505" t="s">
        <v>975</v>
      </c>
      <c r="B505" t="s">
        <v>976</v>
      </c>
      <c r="C505">
        <v>62</v>
      </c>
      <c r="D505" t="s">
        <v>13</v>
      </c>
      <c r="E505" s="2">
        <v>45678</v>
      </c>
      <c r="F505" s="2">
        <v>45684</v>
      </c>
      <c r="G505" t="s">
        <v>14</v>
      </c>
      <c r="H505" t="s">
        <v>39</v>
      </c>
      <c r="I505" s="3">
        <v>17458.62</v>
      </c>
      <c r="J505" s="4">
        <v>0</v>
      </c>
      <c r="K505" t="s">
        <v>16</v>
      </c>
      <c r="L505">
        <f t="shared" si="14"/>
        <v>6</v>
      </c>
      <c r="M505" t="str">
        <f t="shared" si="15"/>
        <v>50–64</v>
      </c>
    </row>
    <row r="506" spans="1:13">
      <c r="A506" t="s">
        <v>977</v>
      </c>
      <c r="B506" t="s">
        <v>790</v>
      </c>
      <c r="C506">
        <v>57</v>
      </c>
      <c r="D506" t="s">
        <v>13</v>
      </c>
      <c r="E506" s="2">
        <v>45993</v>
      </c>
      <c r="F506" s="2">
        <v>45998</v>
      </c>
      <c r="G506" t="s">
        <v>14</v>
      </c>
      <c r="H506" t="s">
        <v>15</v>
      </c>
      <c r="I506" s="3">
        <v>14707.56</v>
      </c>
      <c r="J506" s="4">
        <v>80</v>
      </c>
      <c r="K506" t="s">
        <v>26</v>
      </c>
      <c r="L506">
        <f t="shared" si="14"/>
        <v>5</v>
      </c>
      <c r="M506" t="str">
        <f t="shared" si="15"/>
        <v>50–64</v>
      </c>
    </row>
    <row r="507" spans="1:13">
      <c r="A507" t="s">
        <v>978</v>
      </c>
      <c r="B507" t="s">
        <v>979</v>
      </c>
      <c r="C507">
        <v>52</v>
      </c>
      <c r="D507" t="s">
        <v>13</v>
      </c>
      <c r="E507" s="2">
        <v>45486</v>
      </c>
      <c r="F507" s="2">
        <v>45490</v>
      </c>
      <c r="G507" t="s">
        <v>32</v>
      </c>
      <c r="H507" t="s">
        <v>54</v>
      </c>
      <c r="I507" s="3">
        <v>5116.62</v>
      </c>
      <c r="J507" s="4">
        <v>90</v>
      </c>
      <c r="K507" t="s">
        <v>26</v>
      </c>
      <c r="L507">
        <f t="shared" si="14"/>
        <v>4</v>
      </c>
      <c r="M507" t="str">
        <f t="shared" si="15"/>
        <v>50–64</v>
      </c>
    </row>
    <row r="508" spans="1:13">
      <c r="A508" t="s">
        <v>980</v>
      </c>
      <c r="B508" t="s">
        <v>627</v>
      </c>
      <c r="C508">
        <v>29</v>
      </c>
      <c r="D508" t="s">
        <v>19</v>
      </c>
      <c r="E508" s="2">
        <v>45510</v>
      </c>
      <c r="F508" s="2">
        <v>45517</v>
      </c>
      <c r="G508" t="s">
        <v>61</v>
      </c>
      <c r="H508" t="s">
        <v>98</v>
      </c>
      <c r="I508" s="3">
        <v>11957.78</v>
      </c>
      <c r="J508" s="4">
        <v>80</v>
      </c>
      <c r="K508" t="s">
        <v>21</v>
      </c>
      <c r="L508">
        <f t="shared" si="14"/>
        <v>7</v>
      </c>
      <c r="M508" t="str">
        <f t="shared" si="15"/>
        <v>18–34</v>
      </c>
    </row>
    <row r="509" spans="1:13">
      <c r="A509" t="s">
        <v>981</v>
      </c>
      <c r="B509" t="s">
        <v>137</v>
      </c>
      <c r="C509">
        <v>76</v>
      </c>
      <c r="D509" t="s">
        <v>19</v>
      </c>
      <c r="E509" s="2">
        <v>45525</v>
      </c>
      <c r="F509" s="2">
        <v>45526</v>
      </c>
      <c r="G509" t="s">
        <v>24</v>
      </c>
      <c r="H509" t="s">
        <v>29</v>
      </c>
      <c r="I509" s="3">
        <v>2237.66</v>
      </c>
      <c r="J509" s="4">
        <v>80</v>
      </c>
      <c r="K509" t="s">
        <v>16</v>
      </c>
      <c r="L509">
        <f t="shared" si="14"/>
        <v>1</v>
      </c>
      <c r="M509" t="str">
        <f t="shared" si="15"/>
        <v>65+</v>
      </c>
    </row>
    <row r="510" spans="1:13">
      <c r="A510" t="s">
        <v>982</v>
      </c>
      <c r="B510" t="s">
        <v>983</v>
      </c>
      <c r="C510">
        <v>29</v>
      </c>
      <c r="D510" t="s">
        <v>13</v>
      </c>
      <c r="E510" s="2">
        <v>45856</v>
      </c>
      <c r="F510" s="2">
        <v>45857</v>
      </c>
      <c r="G510" t="s">
        <v>32</v>
      </c>
      <c r="H510" t="s">
        <v>45</v>
      </c>
      <c r="I510" s="3">
        <v>912.18</v>
      </c>
      <c r="J510" s="4">
        <v>50</v>
      </c>
      <c r="K510" t="s">
        <v>21</v>
      </c>
      <c r="L510">
        <f t="shared" si="14"/>
        <v>1</v>
      </c>
      <c r="M510" t="str">
        <f t="shared" si="15"/>
        <v>18–34</v>
      </c>
    </row>
    <row r="511" spans="1:13">
      <c r="A511" t="s">
        <v>984</v>
      </c>
      <c r="B511" t="s">
        <v>985</v>
      </c>
      <c r="C511">
        <v>63</v>
      </c>
      <c r="D511" t="s">
        <v>19</v>
      </c>
      <c r="E511" s="2">
        <v>45666</v>
      </c>
      <c r="F511" s="2">
        <v>45667</v>
      </c>
      <c r="G511" t="s">
        <v>24</v>
      </c>
      <c r="H511" t="s">
        <v>42</v>
      </c>
      <c r="I511" s="3">
        <v>2435.08</v>
      </c>
      <c r="J511" s="4">
        <v>60</v>
      </c>
      <c r="K511" t="s">
        <v>26</v>
      </c>
      <c r="L511">
        <f t="shared" si="14"/>
        <v>1</v>
      </c>
      <c r="M511" t="str">
        <f t="shared" si="15"/>
        <v>50–64</v>
      </c>
    </row>
    <row r="512" spans="1:13">
      <c r="A512" t="s">
        <v>986</v>
      </c>
      <c r="B512" t="s">
        <v>77</v>
      </c>
      <c r="C512">
        <v>55</v>
      </c>
      <c r="D512" t="s">
        <v>13</v>
      </c>
      <c r="E512" s="2">
        <v>45328</v>
      </c>
      <c r="F512" s="2">
        <v>45340</v>
      </c>
      <c r="G512" t="s">
        <v>61</v>
      </c>
      <c r="H512" t="s">
        <v>143</v>
      </c>
      <c r="I512" s="3">
        <v>26103.65</v>
      </c>
      <c r="J512" s="4">
        <v>60</v>
      </c>
      <c r="K512" t="s">
        <v>26</v>
      </c>
      <c r="L512">
        <f t="shared" si="14"/>
        <v>12</v>
      </c>
      <c r="M512" t="str">
        <f t="shared" si="15"/>
        <v>50–64</v>
      </c>
    </row>
    <row r="513" spans="1:13">
      <c r="A513" t="s">
        <v>987</v>
      </c>
      <c r="B513" t="s">
        <v>988</v>
      </c>
      <c r="C513">
        <v>6</v>
      </c>
      <c r="D513" t="s">
        <v>13</v>
      </c>
      <c r="E513" s="2">
        <v>45695</v>
      </c>
      <c r="F513" s="2">
        <v>45696</v>
      </c>
      <c r="G513" t="s">
        <v>50</v>
      </c>
      <c r="H513" t="s">
        <v>51</v>
      </c>
      <c r="I513" s="3">
        <v>762.87</v>
      </c>
      <c r="J513" s="4">
        <v>80</v>
      </c>
      <c r="K513" t="s">
        <v>16</v>
      </c>
      <c r="L513">
        <f t="shared" si="14"/>
        <v>1</v>
      </c>
      <c r="M513" t="str">
        <f t="shared" si="15"/>
        <v>0–17</v>
      </c>
    </row>
    <row r="514" spans="1:13">
      <c r="A514" t="s">
        <v>989</v>
      </c>
      <c r="B514" t="s">
        <v>990</v>
      </c>
      <c r="C514">
        <v>15</v>
      </c>
      <c r="D514" t="s">
        <v>19</v>
      </c>
      <c r="E514" s="2">
        <v>45945</v>
      </c>
      <c r="F514" s="2">
        <v>45946</v>
      </c>
      <c r="G514" t="s">
        <v>50</v>
      </c>
      <c r="H514" t="s">
        <v>121</v>
      </c>
      <c r="I514" s="3">
        <v>653.57000000000005</v>
      </c>
      <c r="J514" s="4">
        <v>70</v>
      </c>
      <c r="K514" t="s">
        <v>21</v>
      </c>
      <c r="L514">
        <f t="shared" si="14"/>
        <v>1</v>
      </c>
      <c r="M514" t="str">
        <f t="shared" si="15"/>
        <v>0–17</v>
      </c>
    </row>
    <row r="515" spans="1:13">
      <c r="A515" t="s">
        <v>991</v>
      </c>
      <c r="B515" t="s">
        <v>467</v>
      </c>
      <c r="C515">
        <v>60</v>
      </c>
      <c r="D515" t="s">
        <v>19</v>
      </c>
      <c r="E515" s="2">
        <v>46015</v>
      </c>
      <c r="F515" s="2">
        <v>46018</v>
      </c>
      <c r="G515" t="s">
        <v>61</v>
      </c>
      <c r="H515" t="s">
        <v>98</v>
      </c>
      <c r="I515" s="3">
        <v>7007.11</v>
      </c>
      <c r="J515" s="4">
        <v>80</v>
      </c>
      <c r="K515" t="s">
        <v>16</v>
      </c>
      <c r="L515">
        <f t="shared" ref="L515:L578" si="16">F515-E515</f>
        <v>3</v>
      </c>
      <c r="M515" t="str">
        <f t="shared" ref="M515:M578" si="17">IF(C515&lt;=17,"0–17",IF(C515&lt;=34,"18–34",IF(C515&lt;=49,"35–49",IF(C515&lt;=64,"50–64","65+"))))</f>
        <v>50–64</v>
      </c>
    </row>
    <row r="516" spans="1:13">
      <c r="A516" t="s">
        <v>992</v>
      </c>
      <c r="B516" t="s">
        <v>993</v>
      </c>
      <c r="C516">
        <v>66</v>
      </c>
      <c r="D516" t="s">
        <v>13</v>
      </c>
      <c r="E516" s="2">
        <v>45792</v>
      </c>
      <c r="F516" s="2">
        <v>45799</v>
      </c>
      <c r="G516" t="s">
        <v>32</v>
      </c>
      <c r="H516" t="s">
        <v>45</v>
      </c>
      <c r="I516" s="3">
        <v>9641.39</v>
      </c>
      <c r="J516" s="4">
        <v>80</v>
      </c>
      <c r="K516" t="s">
        <v>16</v>
      </c>
      <c r="L516">
        <f t="shared" si="16"/>
        <v>7</v>
      </c>
      <c r="M516" t="str">
        <f t="shared" si="17"/>
        <v>65+</v>
      </c>
    </row>
    <row r="517" spans="1:13">
      <c r="A517" t="s">
        <v>994</v>
      </c>
      <c r="B517" t="s">
        <v>995</v>
      </c>
      <c r="C517">
        <v>41</v>
      </c>
      <c r="D517" t="s">
        <v>19</v>
      </c>
      <c r="E517" s="2">
        <v>45748</v>
      </c>
      <c r="F517" s="2">
        <v>45758</v>
      </c>
      <c r="G517" t="s">
        <v>61</v>
      </c>
      <c r="H517" t="s">
        <v>98</v>
      </c>
      <c r="I517" s="3">
        <v>20277.68</v>
      </c>
      <c r="J517" s="4">
        <v>60</v>
      </c>
      <c r="K517" t="s">
        <v>21</v>
      </c>
      <c r="L517">
        <f t="shared" si="16"/>
        <v>10</v>
      </c>
      <c r="M517" t="str">
        <f t="shared" si="17"/>
        <v>35–49</v>
      </c>
    </row>
    <row r="518" spans="1:13">
      <c r="A518" t="s">
        <v>996</v>
      </c>
      <c r="B518" t="s">
        <v>997</v>
      </c>
      <c r="C518">
        <v>56</v>
      </c>
      <c r="D518" t="s">
        <v>19</v>
      </c>
      <c r="E518" s="2">
        <v>45950</v>
      </c>
      <c r="F518" s="2">
        <v>45957</v>
      </c>
      <c r="G518" t="s">
        <v>14</v>
      </c>
      <c r="H518" t="s">
        <v>112</v>
      </c>
      <c r="I518" s="3">
        <v>10406.790000000001</v>
      </c>
      <c r="J518" s="4">
        <v>70</v>
      </c>
      <c r="K518" t="s">
        <v>21</v>
      </c>
      <c r="L518">
        <f t="shared" si="16"/>
        <v>7</v>
      </c>
      <c r="M518" t="str">
        <f t="shared" si="17"/>
        <v>50–64</v>
      </c>
    </row>
    <row r="519" spans="1:13">
      <c r="A519" t="s">
        <v>998</v>
      </c>
      <c r="B519" t="s">
        <v>999</v>
      </c>
      <c r="C519">
        <v>25</v>
      </c>
      <c r="D519" t="s">
        <v>13</v>
      </c>
      <c r="E519" s="2">
        <v>45768</v>
      </c>
      <c r="F519" s="2">
        <v>45771</v>
      </c>
      <c r="G519" t="s">
        <v>24</v>
      </c>
      <c r="H519" t="s">
        <v>334</v>
      </c>
      <c r="I519" s="3">
        <v>5735.73</v>
      </c>
      <c r="J519" s="4">
        <v>80</v>
      </c>
      <c r="K519" t="s">
        <v>21</v>
      </c>
      <c r="L519">
        <f t="shared" si="16"/>
        <v>3</v>
      </c>
      <c r="M519" t="str">
        <f t="shared" si="17"/>
        <v>18–34</v>
      </c>
    </row>
    <row r="520" spans="1:13">
      <c r="A520" t="s">
        <v>1000</v>
      </c>
      <c r="B520" t="s">
        <v>707</v>
      </c>
      <c r="C520">
        <v>38</v>
      </c>
      <c r="D520" t="s">
        <v>13</v>
      </c>
      <c r="E520" s="2">
        <v>45479</v>
      </c>
      <c r="F520" s="2">
        <v>45482</v>
      </c>
      <c r="G520" t="s">
        <v>32</v>
      </c>
      <c r="H520" t="s">
        <v>54</v>
      </c>
      <c r="I520" s="3">
        <v>4420.13</v>
      </c>
      <c r="J520" s="4">
        <v>90</v>
      </c>
      <c r="K520" t="s">
        <v>16</v>
      </c>
      <c r="L520">
        <f t="shared" si="16"/>
        <v>3</v>
      </c>
      <c r="M520" t="str">
        <f t="shared" si="17"/>
        <v>35–49</v>
      </c>
    </row>
    <row r="521" spans="1:13">
      <c r="A521" t="s">
        <v>1001</v>
      </c>
      <c r="B521" t="s">
        <v>1002</v>
      </c>
      <c r="C521">
        <v>56</v>
      </c>
      <c r="D521" t="s">
        <v>19</v>
      </c>
      <c r="E521" s="2">
        <v>45888</v>
      </c>
      <c r="F521" s="2">
        <v>45894</v>
      </c>
      <c r="G521" t="s">
        <v>32</v>
      </c>
      <c r="H521" t="s">
        <v>115</v>
      </c>
      <c r="I521" s="3">
        <v>4034.24</v>
      </c>
      <c r="J521" s="4">
        <v>90</v>
      </c>
      <c r="K521" t="s">
        <v>21</v>
      </c>
      <c r="L521">
        <f t="shared" si="16"/>
        <v>6</v>
      </c>
      <c r="M521" t="str">
        <f t="shared" si="17"/>
        <v>50–64</v>
      </c>
    </row>
    <row r="522" spans="1:13">
      <c r="A522" t="s">
        <v>1003</v>
      </c>
      <c r="B522" t="s">
        <v>1004</v>
      </c>
      <c r="C522">
        <v>53</v>
      </c>
      <c r="D522" t="s">
        <v>13</v>
      </c>
      <c r="E522" s="2">
        <v>45681</v>
      </c>
      <c r="F522" s="2">
        <v>45692</v>
      </c>
      <c r="G522" t="s">
        <v>71</v>
      </c>
      <c r="H522" t="s">
        <v>72</v>
      </c>
      <c r="I522" s="3">
        <v>18224.23</v>
      </c>
      <c r="J522" s="4">
        <v>80</v>
      </c>
      <c r="K522" t="s">
        <v>16</v>
      </c>
      <c r="L522">
        <f t="shared" si="16"/>
        <v>11</v>
      </c>
      <c r="M522" t="str">
        <f t="shared" si="17"/>
        <v>50–64</v>
      </c>
    </row>
    <row r="523" spans="1:13">
      <c r="A523" t="s">
        <v>1005</v>
      </c>
      <c r="B523" t="s">
        <v>1006</v>
      </c>
      <c r="C523">
        <v>21</v>
      </c>
      <c r="D523" t="s">
        <v>13</v>
      </c>
      <c r="E523" s="2">
        <v>45495</v>
      </c>
      <c r="F523" s="2">
        <v>45502</v>
      </c>
      <c r="G523" t="s">
        <v>32</v>
      </c>
      <c r="H523" t="s">
        <v>115</v>
      </c>
      <c r="I523" s="3">
        <v>4562.96</v>
      </c>
      <c r="J523" s="4">
        <v>90</v>
      </c>
      <c r="K523" t="s">
        <v>16</v>
      </c>
      <c r="L523">
        <f t="shared" si="16"/>
        <v>7</v>
      </c>
      <c r="M523" t="str">
        <f t="shared" si="17"/>
        <v>18–34</v>
      </c>
    </row>
    <row r="524" spans="1:13">
      <c r="A524" t="s">
        <v>1007</v>
      </c>
      <c r="B524" t="s">
        <v>240</v>
      </c>
      <c r="C524">
        <v>1</v>
      </c>
      <c r="D524" t="s">
        <v>13</v>
      </c>
      <c r="E524" s="2">
        <v>45596</v>
      </c>
      <c r="F524" s="2">
        <v>45601</v>
      </c>
      <c r="G524" t="s">
        <v>50</v>
      </c>
      <c r="H524" t="s">
        <v>121</v>
      </c>
      <c r="I524" s="3">
        <v>7560.63</v>
      </c>
      <c r="J524" s="4">
        <v>0</v>
      </c>
      <c r="K524" t="s">
        <v>16</v>
      </c>
      <c r="L524">
        <f t="shared" si="16"/>
        <v>5</v>
      </c>
      <c r="M524" t="str">
        <f t="shared" si="17"/>
        <v>0–17</v>
      </c>
    </row>
    <row r="525" spans="1:13">
      <c r="A525" t="s">
        <v>1008</v>
      </c>
      <c r="B525" t="s">
        <v>713</v>
      </c>
      <c r="C525">
        <v>21</v>
      </c>
      <c r="D525" t="s">
        <v>19</v>
      </c>
      <c r="E525" s="2">
        <v>45853</v>
      </c>
      <c r="F525" s="2">
        <v>45854</v>
      </c>
      <c r="G525" t="s">
        <v>32</v>
      </c>
      <c r="H525" t="s">
        <v>45</v>
      </c>
      <c r="I525" s="3">
        <v>605</v>
      </c>
      <c r="J525" s="4">
        <v>80</v>
      </c>
      <c r="K525" t="s">
        <v>16</v>
      </c>
      <c r="L525">
        <f t="shared" si="16"/>
        <v>1</v>
      </c>
      <c r="M525" t="str">
        <f t="shared" si="17"/>
        <v>18–34</v>
      </c>
    </row>
    <row r="526" spans="1:13">
      <c r="A526" t="s">
        <v>1009</v>
      </c>
      <c r="B526" t="s">
        <v>1010</v>
      </c>
      <c r="C526">
        <v>77</v>
      </c>
      <c r="D526" t="s">
        <v>19</v>
      </c>
      <c r="E526" s="2">
        <v>45682</v>
      </c>
      <c r="F526" s="2">
        <v>45683</v>
      </c>
      <c r="G526" t="s">
        <v>24</v>
      </c>
      <c r="H526" t="s">
        <v>205</v>
      </c>
      <c r="I526" s="3">
        <v>899.35</v>
      </c>
      <c r="J526" s="4">
        <v>70</v>
      </c>
      <c r="K526" t="s">
        <v>21</v>
      </c>
      <c r="L526">
        <f t="shared" si="16"/>
        <v>1</v>
      </c>
      <c r="M526" t="str">
        <f t="shared" si="17"/>
        <v>65+</v>
      </c>
    </row>
    <row r="527" spans="1:13">
      <c r="A527" t="s">
        <v>1011</v>
      </c>
      <c r="B527" t="s">
        <v>1012</v>
      </c>
      <c r="C527">
        <v>54</v>
      </c>
      <c r="D527" t="s">
        <v>13</v>
      </c>
      <c r="E527" s="2">
        <v>45350</v>
      </c>
      <c r="F527" s="2">
        <v>45355</v>
      </c>
      <c r="G527" t="s">
        <v>14</v>
      </c>
      <c r="H527" t="s">
        <v>15</v>
      </c>
      <c r="I527" s="3">
        <v>13642.77</v>
      </c>
      <c r="J527" s="4">
        <v>80</v>
      </c>
      <c r="K527" t="s">
        <v>26</v>
      </c>
      <c r="L527">
        <f t="shared" si="16"/>
        <v>5</v>
      </c>
      <c r="M527" t="str">
        <f t="shared" si="17"/>
        <v>50–64</v>
      </c>
    </row>
    <row r="528" spans="1:13">
      <c r="A528" t="s">
        <v>1013</v>
      </c>
      <c r="B528" t="s">
        <v>479</v>
      </c>
      <c r="C528">
        <v>49</v>
      </c>
      <c r="D528" t="s">
        <v>19</v>
      </c>
      <c r="E528" s="2">
        <v>45543</v>
      </c>
      <c r="F528" s="2">
        <v>45544</v>
      </c>
      <c r="G528" t="s">
        <v>32</v>
      </c>
      <c r="H528" t="s">
        <v>88</v>
      </c>
      <c r="I528" s="3">
        <v>1419.55</v>
      </c>
      <c r="J528" s="4">
        <v>90</v>
      </c>
      <c r="K528" t="s">
        <v>26</v>
      </c>
      <c r="L528">
        <f t="shared" si="16"/>
        <v>1</v>
      </c>
      <c r="M528" t="str">
        <f t="shared" si="17"/>
        <v>35–49</v>
      </c>
    </row>
    <row r="529" spans="1:13">
      <c r="A529" t="s">
        <v>1014</v>
      </c>
      <c r="B529" t="s">
        <v>1015</v>
      </c>
      <c r="C529">
        <v>74</v>
      </c>
      <c r="D529" t="s">
        <v>13</v>
      </c>
      <c r="E529" s="2">
        <v>45908</v>
      </c>
      <c r="F529" s="2">
        <v>45913</v>
      </c>
      <c r="G529" t="s">
        <v>32</v>
      </c>
      <c r="H529" t="s">
        <v>33</v>
      </c>
      <c r="I529" s="3">
        <v>4915.01</v>
      </c>
      <c r="J529" s="4">
        <v>90</v>
      </c>
      <c r="K529" t="s">
        <v>16</v>
      </c>
      <c r="L529">
        <f t="shared" si="16"/>
        <v>5</v>
      </c>
      <c r="M529" t="str">
        <f t="shared" si="17"/>
        <v>65+</v>
      </c>
    </row>
    <row r="530" spans="1:13">
      <c r="A530" t="s">
        <v>1016</v>
      </c>
      <c r="B530" t="s">
        <v>1017</v>
      </c>
      <c r="C530">
        <v>24</v>
      </c>
      <c r="D530" t="s">
        <v>19</v>
      </c>
      <c r="E530" s="2">
        <v>45451</v>
      </c>
      <c r="F530" s="2">
        <v>45452</v>
      </c>
      <c r="G530" t="s">
        <v>32</v>
      </c>
      <c r="H530" t="s">
        <v>115</v>
      </c>
      <c r="I530" s="3">
        <v>879.73</v>
      </c>
      <c r="J530" s="4">
        <v>80</v>
      </c>
      <c r="K530" t="s">
        <v>16</v>
      </c>
      <c r="L530">
        <f t="shared" si="16"/>
        <v>1</v>
      </c>
      <c r="M530" t="str">
        <f t="shared" si="17"/>
        <v>18–34</v>
      </c>
    </row>
    <row r="531" spans="1:13">
      <c r="A531" t="s">
        <v>1018</v>
      </c>
      <c r="B531" t="s">
        <v>1019</v>
      </c>
      <c r="C531">
        <v>78</v>
      </c>
      <c r="D531" t="s">
        <v>19</v>
      </c>
      <c r="E531" s="2">
        <v>45496</v>
      </c>
      <c r="F531" s="2">
        <v>45499</v>
      </c>
      <c r="G531" t="s">
        <v>24</v>
      </c>
      <c r="H531" t="s">
        <v>29</v>
      </c>
      <c r="I531" s="3">
        <v>4924.09</v>
      </c>
      <c r="J531" s="4">
        <v>70</v>
      </c>
      <c r="K531" t="s">
        <v>16</v>
      </c>
      <c r="L531">
        <f t="shared" si="16"/>
        <v>3</v>
      </c>
      <c r="M531" t="str">
        <f t="shared" si="17"/>
        <v>65+</v>
      </c>
    </row>
    <row r="532" spans="1:13">
      <c r="A532" t="s">
        <v>1020</v>
      </c>
      <c r="B532" t="s">
        <v>747</v>
      </c>
      <c r="C532">
        <v>34</v>
      </c>
      <c r="D532" t="s">
        <v>13</v>
      </c>
      <c r="E532" s="2">
        <v>45963</v>
      </c>
      <c r="F532" s="2">
        <v>45973</v>
      </c>
      <c r="G532" t="s">
        <v>61</v>
      </c>
      <c r="H532" t="s">
        <v>62</v>
      </c>
      <c r="I532" s="3">
        <v>13077.22</v>
      </c>
      <c r="J532" s="4">
        <v>60</v>
      </c>
      <c r="K532" t="s">
        <v>26</v>
      </c>
      <c r="L532">
        <f t="shared" si="16"/>
        <v>10</v>
      </c>
      <c r="M532" t="str">
        <f t="shared" si="17"/>
        <v>18–34</v>
      </c>
    </row>
    <row r="533" spans="1:13">
      <c r="A533" t="s">
        <v>1021</v>
      </c>
      <c r="B533" t="s">
        <v>491</v>
      </c>
      <c r="C533">
        <v>45</v>
      </c>
      <c r="D533" t="s">
        <v>13</v>
      </c>
      <c r="E533" s="2">
        <v>45941</v>
      </c>
      <c r="F533" s="2">
        <v>45948</v>
      </c>
      <c r="G533" t="s">
        <v>32</v>
      </c>
      <c r="H533" t="s">
        <v>45</v>
      </c>
      <c r="I533" s="3">
        <v>5438.75</v>
      </c>
      <c r="J533" s="4">
        <v>80</v>
      </c>
      <c r="K533" t="s">
        <v>16</v>
      </c>
      <c r="L533">
        <f t="shared" si="16"/>
        <v>7</v>
      </c>
      <c r="M533" t="str">
        <f t="shared" si="17"/>
        <v>35–49</v>
      </c>
    </row>
    <row r="534" spans="1:13">
      <c r="A534" t="s">
        <v>1022</v>
      </c>
      <c r="B534" t="s">
        <v>1023</v>
      </c>
      <c r="C534">
        <v>59</v>
      </c>
      <c r="D534" t="s">
        <v>19</v>
      </c>
      <c r="E534" s="2">
        <v>45592</v>
      </c>
      <c r="F534" s="2">
        <v>45600</v>
      </c>
      <c r="G534" t="s">
        <v>14</v>
      </c>
      <c r="H534" t="s">
        <v>20</v>
      </c>
      <c r="I534" s="3">
        <v>23659.1</v>
      </c>
      <c r="J534" s="4">
        <v>90</v>
      </c>
      <c r="K534" t="s">
        <v>21</v>
      </c>
      <c r="L534">
        <f t="shared" si="16"/>
        <v>8</v>
      </c>
      <c r="M534" t="str">
        <f t="shared" si="17"/>
        <v>50–64</v>
      </c>
    </row>
    <row r="535" spans="1:13">
      <c r="A535" t="s">
        <v>1024</v>
      </c>
      <c r="B535" t="s">
        <v>1025</v>
      </c>
      <c r="C535">
        <v>80</v>
      </c>
      <c r="D535" t="s">
        <v>13</v>
      </c>
      <c r="E535" s="2">
        <v>45490</v>
      </c>
      <c r="F535" s="2">
        <v>45495</v>
      </c>
      <c r="G535" t="s">
        <v>14</v>
      </c>
      <c r="H535" t="s">
        <v>166</v>
      </c>
      <c r="I535" s="3">
        <v>10323.56</v>
      </c>
      <c r="J535" s="4">
        <v>70</v>
      </c>
      <c r="K535" t="s">
        <v>16</v>
      </c>
      <c r="L535">
        <f t="shared" si="16"/>
        <v>5</v>
      </c>
      <c r="M535" t="str">
        <f t="shared" si="17"/>
        <v>65+</v>
      </c>
    </row>
    <row r="536" spans="1:13">
      <c r="A536" t="s">
        <v>1026</v>
      </c>
      <c r="B536" t="s">
        <v>1027</v>
      </c>
      <c r="C536">
        <v>53</v>
      </c>
      <c r="D536" t="s">
        <v>13</v>
      </c>
      <c r="E536" s="2">
        <v>45643</v>
      </c>
      <c r="F536" s="2">
        <v>45652</v>
      </c>
      <c r="G536" t="s">
        <v>61</v>
      </c>
      <c r="H536" t="s">
        <v>143</v>
      </c>
      <c r="I536" s="3">
        <v>23629.360000000001</v>
      </c>
      <c r="J536" s="4">
        <v>90</v>
      </c>
      <c r="K536" t="s">
        <v>16</v>
      </c>
      <c r="L536">
        <f t="shared" si="16"/>
        <v>9</v>
      </c>
      <c r="M536" t="str">
        <f t="shared" si="17"/>
        <v>50–64</v>
      </c>
    </row>
    <row r="537" spans="1:13">
      <c r="A537" t="s">
        <v>1028</v>
      </c>
      <c r="B537" t="s">
        <v>1029</v>
      </c>
      <c r="C537">
        <v>65</v>
      </c>
      <c r="D537" t="s">
        <v>13</v>
      </c>
      <c r="E537" s="2">
        <v>45359</v>
      </c>
      <c r="F537" s="2">
        <v>45365</v>
      </c>
      <c r="G537" t="s">
        <v>32</v>
      </c>
      <c r="H537" t="s">
        <v>115</v>
      </c>
      <c r="I537" s="3">
        <v>7474.49</v>
      </c>
      <c r="J537" s="4">
        <v>70</v>
      </c>
      <c r="K537" t="s">
        <v>16</v>
      </c>
      <c r="L537">
        <f t="shared" si="16"/>
        <v>6</v>
      </c>
      <c r="M537" t="str">
        <f t="shared" si="17"/>
        <v>65+</v>
      </c>
    </row>
    <row r="538" spans="1:13">
      <c r="A538" t="s">
        <v>1030</v>
      </c>
      <c r="B538" t="s">
        <v>1031</v>
      </c>
      <c r="C538">
        <v>46</v>
      </c>
      <c r="D538" t="s">
        <v>19</v>
      </c>
      <c r="E538" s="2">
        <v>45804</v>
      </c>
      <c r="F538" s="2">
        <v>45807</v>
      </c>
      <c r="G538" t="s">
        <v>24</v>
      </c>
      <c r="H538" t="s">
        <v>222</v>
      </c>
      <c r="I538" s="3">
        <v>6062.52</v>
      </c>
      <c r="J538" s="4">
        <v>90</v>
      </c>
      <c r="K538" t="s">
        <v>16</v>
      </c>
      <c r="L538">
        <f t="shared" si="16"/>
        <v>3</v>
      </c>
      <c r="M538" t="str">
        <f t="shared" si="17"/>
        <v>35–49</v>
      </c>
    </row>
    <row r="539" spans="1:13">
      <c r="A539" t="s">
        <v>1032</v>
      </c>
      <c r="B539" t="s">
        <v>1033</v>
      </c>
      <c r="C539">
        <v>19</v>
      </c>
      <c r="D539" t="s">
        <v>19</v>
      </c>
      <c r="E539" s="2">
        <v>45472</v>
      </c>
      <c r="F539" s="2">
        <v>45474</v>
      </c>
      <c r="G539" t="s">
        <v>24</v>
      </c>
      <c r="H539" t="s">
        <v>83</v>
      </c>
      <c r="I539" s="3">
        <v>4748.93</v>
      </c>
      <c r="J539" s="4">
        <v>0</v>
      </c>
      <c r="K539" t="s">
        <v>16</v>
      </c>
      <c r="L539">
        <f t="shared" si="16"/>
        <v>2</v>
      </c>
      <c r="M539" t="str">
        <f t="shared" si="17"/>
        <v>18–34</v>
      </c>
    </row>
    <row r="540" spans="1:13">
      <c r="A540" t="s">
        <v>1034</v>
      </c>
      <c r="B540" t="s">
        <v>1035</v>
      </c>
      <c r="C540">
        <v>12</v>
      </c>
      <c r="D540" t="s">
        <v>13</v>
      </c>
      <c r="E540" s="2">
        <v>45787</v>
      </c>
      <c r="F540" s="2">
        <v>45791</v>
      </c>
      <c r="G540" t="s">
        <v>50</v>
      </c>
      <c r="H540" t="s">
        <v>118</v>
      </c>
      <c r="I540" s="3">
        <v>5993.64</v>
      </c>
      <c r="J540" s="4">
        <v>0</v>
      </c>
      <c r="K540" t="s">
        <v>26</v>
      </c>
      <c r="L540">
        <f t="shared" si="16"/>
        <v>4</v>
      </c>
      <c r="M540" t="str">
        <f t="shared" si="17"/>
        <v>0–17</v>
      </c>
    </row>
    <row r="541" spans="1:13">
      <c r="A541" t="s">
        <v>1036</v>
      </c>
      <c r="B541" t="s">
        <v>1037</v>
      </c>
      <c r="C541">
        <v>49</v>
      </c>
      <c r="D541" t="s">
        <v>13</v>
      </c>
      <c r="E541" s="2">
        <v>45981</v>
      </c>
      <c r="F541" s="2">
        <v>45983</v>
      </c>
      <c r="G541" t="s">
        <v>32</v>
      </c>
      <c r="H541" t="s">
        <v>45</v>
      </c>
      <c r="I541" s="3">
        <v>1129.2</v>
      </c>
      <c r="J541" s="4">
        <v>80</v>
      </c>
      <c r="K541" t="s">
        <v>16</v>
      </c>
      <c r="L541">
        <f t="shared" si="16"/>
        <v>2</v>
      </c>
      <c r="M541" t="str">
        <f t="shared" si="17"/>
        <v>35–49</v>
      </c>
    </row>
    <row r="542" spans="1:13">
      <c r="A542" t="s">
        <v>1038</v>
      </c>
      <c r="B542" t="s">
        <v>627</v>
      </c>
      <c r="C542">
        <v>47</v>
      </c>
      <c r="D542" t="s">
        <v>19</v>
      </c>
      <c r="E542" s="2">
        <v>45417</v>
      </c>
      <c r="F542" s="2">
        <v>45420</v>
      </c>
      <c r="G542" t="s">
        <v>24</v>
      </c>
      <c r="H542" t="s">
        <v>205</v>
      </c>
      <c r="I542" s="3">
        <v>2925.89</v>
      </c>
      <c r="J542" s="4">
        <v>60</v>
      </c>
      <c r="K542" t="s">
        <v>26</v>
      </c>
      <c r="L542">
        <f t="shared" si="16"/>
        <v>3</v>
      </c>
      <c r="M542" t="str">
        <f t="shared" si="17"/>
        <v>35–49</v>
      </c>
    </row>
    <row r="543" spans="1:13">
      <c r="A543" t="s">
        <v>1039</v>
      </c>
      <c r="B543" t="s">
        <v>588</v>
      </c>
      <c r="C543">
        <v>60</v>
      </c>
      <c r="D543" t="s">
        <v>19</v>
      </c>
      <c r="E543" s="2">
        <v>45565</v>
      </c>
      <c r="F543" s="2">
        <v>45567</v>
      </c>
      <c r="G543" t="s">
        <v>24</v>
      </c>
      <c r="H543" t="s">
        <v>205</v>
      </c>
      <c r="I543" s="3">
        <v>3791.25</v>
      </c>
      <c r="J543" s="4">
        <v>60</v>
      </c>
      <c r="K543" t="s">
        <v>21</v>
      </c>
      <c r="L543">
        <f t="shared" si="16"/>
        <v>2</v>
      </c>
      <c r="M543" t="str">
        <f t="shared" si="17"/>
        <v>50–64</v>
      </c>
    </row>
    <row r="544" spans="1:13">
      <c r="A544" t="s">
        <v>1040</v>
      </c>
      <c r="B544" t="s">
        <v>1041</v>
      </c>
      <c r="C544">
        <v>39</v>
      </c>
      <c r="D544" t="s">
        <v>19</v>
      </c>
      <c r="E544" s="2">
        <v>45466</v>
      </c>
      <c r="F544" s="2">
        <v>45473</v>
      </c>
      <c r="G544" t="s">
        <v>61</v>
      </c>
      <c r="H544" t="s">
        <v>143</v>
      </c>
      <c r="I544" s="3">
        <v>17536.5</v>
      </c>
      <c r="J544" s="4">
        <v>90</v>
      </c>
      <c r="K544" t="s">
        <v>16</v>
      </c>
      <c r="L544">
        <f t="shared" si="16"/>
        <v>7</v>
      </c>
      <c r="M544" t="str">
        <f t="shared" si="17"/>
        <v>35–49</v>
      </c>
    </row>
    <row r="545" spans="1:13">
      <c r="A545" t="s">
        <v>1042</v>
      </c>
      <c r="B545" t="s">
        <v>301</v>
      </c>
      <c r="C545">
        <v>35</v>
      </c>
      <c r="D545" t="s">
        <v>19</v>
      </c>
      <c r="E545" s="2">
        <v>45687</v>
      </c>
      <c r="F545" s="2">
        <v>45691</v>
      </c>
      <c r="G545" t="s">
        <v>32</v>
      </c>
      <c r="H545" t="s">
        <v>33</v>
      </c>
      <c r="I545" s="3">
        <v>2285.7199999999998</v>
      </c>
      <c r="J545" s="4">
        <v>90</v>
      </c>
      <c r="K545" t="s">
        <v>16</v>
      </c>
      <c r="L545">
        <f t="shared" si="16"/>
        <v>4</v>
      </c>
      <c r="M545" t="str">
        <f t="shared" si="17"/>
        <v>35–49</v>
      </c>
    </row>
    <row r="546" spans="1:13">
      <c r="A546" t="s">
        <v>1043</v>
      </c>
      <c r="B546" t="s">
        <v>1044</v>
      </c>
      <c r="C546">
        <v>37</v>
      </c>
      <c r="D546" t="s">
        <v>19</v>
      </c>
      <c r="E546" s="2">
        <v>45304</v>
      </c>
      <c r="F546" s="2">
        <v>45313</v>
      </c>
      <c r="G546" t="s">
        <v>61</v>
      </c>
      <c r="H546" t="s">
        <v>98</v>
      </c>
      <c r="I546" s="3">
        <v>11741.84</v>
      </c>
      <c r="J546" s="4">
        <v>80</v>
      </c>
      <c r="K546" t="s">
        <v>16</v>
      </c>
      <c r="L546">
        <f t="shared" si="16"/>
        <v>9</v>
      </c>
      <c r="M546" t="str">
        <f t="shared" si="17"/>
        <v>35–49</v>
      </c>
    </row>
    <row r="547" spans="1:13">
      <c r="A547" t="s">
        <v>1045</v>
      </c>
      <c r="B547" t="s">
        <v>1046</v>
      </c>
      <c r="C547">
        <v>51</v>
      </c>
      <c r="D547" t="s">
        <v>19</v>
      </c>
      <c r="E547" s="2">
        <v>45943</v>
      </c>
      <c r="F547" s="2">
        <v>45951</v>
      </c>
      <c r="G547" t="s">
        <v>14</v>
      </c>
      <c r="H547" t="s">
        <v>39</v>
      </c>
      <c r="I547" s="3">
        <v>17157.7</v>
      </c>
      <c r="J547" s="4">
        <v>80</v>
      </c>
      <c r="K547" t="s">
        <v>21</v>
      </c>
      <c r="L547">
        <f t="shared" si="16"/>
        <v>8</v>
      </c>
      <c r="M547" t="str">
        <f t="shared" si="17"/>
        <v>50–64</v>
      </c>
    </row>
    <row r="548" spans="1:13">
      <c r="A548" t="s">
        <v>1047</v>
      </c>
      <c r="B548" t="s">
        <v>1048</v>
      </c>
      <c r="C548">
        <v>69</v>
      </c>
      <c r="D548" t="s">
        <v>19</v>
      </c>
      <c r="E548" s="2">
        <v>45793</v>
      </c>
      <c r="F548" s="2">
        <v>45794</v>
      </c>
      <c r="G548" t="s">
        <v>32</v>
      </c>
      <c r="H548" t="s">
        <v>235</v>
      </c>
      <c r="I548" s="3">
        <v>1202.17</v>
      </c>
      <c r="J548" s="4">
        <v>0</v>
      </c>
      <c r="K548" t="s">
        <v>26</v>
      </c>
      <c r="L548">
        <f t="shared" si="16"/>
        <v>1</v>
      </c>
      <c r="M548" t="str">
        <f t="shared" si="17"/>
        <v>65+</v>
      </c>
    </row>
    <row r="549" spans="1:13">
      <c r="A549" t="s">
        <v>1049</v>
      </c>
      <c r="B549" t="s">
        <v>1050</v>
      </c>
      <c r="C549">
        <v>10</v>
      </c>
      <c r="D549" t="s">
        <v>13</v>
      </c>
      <c r="E549" s="2">
        <v>45802</v>
      </c>
      <c r="F549" s="2">
        <v>45803</v>
      </c>
      <c r="G549" t="s">
        <v>50</v>
      </c>
      <c r="H549" t="s">
        <v>51</v>
      </c>
      <c r="I549" s="3">
        <v>963.75</v>
      </c>
      <c r="J549" s="4">
        <v>100</v>
      </c>
      <c r="K549" t="s">
        <v>16</v>
      </c>
      <c r="L549">
        <f t="shared" si="16"/>
        <v>1</v>
      </c>
      <c r="M549" t="str">
        <f t="shared" si="17"/>
        <v>0–17</v>
      </c>
    </row>
    <row r="550" spans="1:13">
      <c r="A550" t="s">
        <v>1051</v>
      </c>
      <c r="B550" t="s">
        <v>1052</v>
      </c>
      <c r="C550">
        <v>5</v>
      </c>
      <c r="D550" t="s">
        <v>13</v>
      </c>
      <c r="E550" s="2">
        <v>45841</v>
      </c>
      <c r="F550" s="2">
        <v>45842</v>
      </c>
      <c r="G550" t="s">
        <v>50</v>
      </c>
      <c r="H550" t="s">
        <v>51</v>
      </c>
      <c r="I550" s="3">
        <v>634.45000000000005</v>
      </c>
      <c r="J550" s="4">
        <v>80</v>
      </c>
      <c r="K550" t="s">
        <v>16</v>
      </c>
      <c r="L550">
        <f t="shared" si="16"/>
        <v>1</v>
      </c>
      <c r="M550" t="str">
        <f t="shared" si="17"/>
        <v>0–17</v>
      </c>
    </row>
    <row r="551" spans="1:13">
      <c r="A551" t="s">
        <v>1053</v>
      </c>
      <c r="B551" t="s">
        <v>607</v>
      </c>
      <c r="C551">
        <v>67</v>
      </c>
      <c r="D551" t="s">
        <v>13</v>
      </c>
      <c r="E551" s="2">
        <v>45827</v>
      </c>
      <c r="F551" s="2">
        <v>45839</v>
      </c>
      <c r="G551" t="s">
        <v>61</v>
      </c>
      <c r="H551" t="s">
        <v>98</v>
      </c>
      <c r="I551" s="3">
        <v>15003.09</v>
      </c>
      <c r="J551" s="4">
        <v>60</v>
      </c>
      <c r="K551" t="s">
        <v>21</v>
      </c>
      <c r="L551">
        <f t="shared" si="16"/>
        <v>12</v>
      </c>
      <c r="M551" t="str">
        <f t="shared" si="17"/>
        <v>65+</v>
      </c>
    </row>
    <row r="552" spans="1:13">
      <c r="A552" t="s">
        <v>1054</v>
      </c>
      <c r="B552" t="s">
        <v>1055</v>
      </c>
      <c r="C552">
        <v>33</v>
      </c>
      <c r="D552" t="s">
        <v>19</v>
      </c>
      <c r="E552" s="2">
        <v>45520</v>
      </c>
      <c r="F552" s="2">
        <v>45522</v>
      </c>
      <c r="G552" t="s">
        <v>24</v>
      </c>
      <c r="H552" t="s">
        <v>42</v>
      </c>
      <c r="I552" s="3">
        <v>1936.8</v>
      </c>
      <c r="J552" s="4">
        <v>80</v>
      </c>
      <c r="K552" t="s">
        <v>16</v>
      </c>
      <c r="L552">
        <f t="shared" si="16"/>
        <v>2</v>
      </c>
      <c r="M552" t="str">
        <f t="shared" si="17"/>
        <v>18–34</v>
      </c>
    </row>
    <row r="553" spans="1:13">
      <c r="A553" t="s">
        <v>1056</v>
      </c>
      <c r="B553" t="s">
        <v>1033</v>
      </c>
      <c r="C553">
        <v>37</v>
      </c>
      <c r="D553" t="s">
        <v>19</v>
      </c>
      <c r="E553" s="2">
        <v>45736</v>
      </c>
      <c r="F553" s="2">
        <v>45739</v>
      </c>
      <c r="G553" t="s">
        <v>24</v>
      </c>
      <c r="H553" t="s">
        <v>25</v>
      </c>
      <c r="I553" s="3">
        <v>6193.25</v>
      </c>
      <c r="J553" s="4">
        <v>60</v>
      </c>
      <c r="K553" t="s">
        <v>21</v>
      </c>
      <c r="L553">
        <f t="shared" si="16"/>
        <v>3</v>
      </c>
      <c r="M553" t="str">
        <f t="shared" si="17"/>
        <v>35–49</v>
      </c>
    </row>
    <row r="554" spans="1:13">
      <c r="A554" t="s">
        <v>1057</v>
      </c>
      <c r="B554" t="s">
        <v>1058</v>
      </c>
      <c r="C554">
        <v>72</v>
      </c>
      <c r="D554" t="s">
        <v>19</v>
      </c>
      <c r="E554" s="2">
        <v>45948</v>
      </c>
      <c r="F554" s="2">
        <v>45955</v>
      </c>
      <c r="G554" t="s">
        <v>61</v>
      </c>
      <c r="H554" t="s">
        <v>62</v>
      </c>
      <c r="I554" s="3">
        <v>11831.06</v>
      </c>
      <c r="J554" s="4">
        <v>80</v>
      </c>
      <c r="K554" t="s">
        <v>26</v>
      </c>
      <c r="L554">
        <f t="shared" si="16"/>
        <v>7</v>
      </c>
      <c r="M554" t="str">
        <f t="shared" si="17"/>
        <v>65+</v>
      </c>
    </row>
    <row r="555" spans="1:13">
      <c r="A555" t="s">
        <v>1059</v>
      </c>
      <c r="B555" t="s">
        <v>1060</v>
      </c>
      <c r="C555">
        <v>75</v>
      </c>
      <c r="D555" t="s">
        <v>13</v>
      </c>
      <c r="E555" s="2">
        <v>45692</v>
      </c>
      <c r="F555" s="2">
        <v>45699</v>
      </c>
      <c r="G555" t="s">
        <v>32</v>
      </c>
      <c r="H555" t="s">
        <v>88</v>
      </c>
      <c r="I555" s="3">
        <v>7790.86</v>
      </c>
      <c r="J555" s="4">
        <v>100</v>
      </c>
      <c r="K555" t="s">
        <v>16</v>
      </c>
      <c r="L555">
        <f t="shared" si="16"/>
        <v>7</v>
      </c>
      <c r="M555" t="str">
        <f t="shared" si="17"/>
        <v>65+</v>
      </c>
    </row>
    <row r="556" spans="1:13">
      <c r="A556" t="s">
        <v>1061</v>
      </c>
      <c r="B556" t="s">
        <v>1062</v>
      </c>
      <c r="C556">
        <v>27</v>
      </c>
      <c r="D556" t="s">
        <v>19</v>
      </c>
      <c r="E556" s="2">
        <v>45981</v>
      </c>
      <c r="F556" s="2">
        <v>45988</v>
      </c>
      <c r="G556" t="s">
        <v>32</v>
      </c>
      <c r="H556" t="s">
        <v>45</v>
      </c>
      <c r="I556" s="3">
        <v>4784.6000000000004</v>
      </c>
      <c r="J556" s="4">
        <v>70</v>
      </c>
      <c r="K556" t="s">
        <v>16</v>
      </c>
      <c r="L556">
        <f t="shared" si="16"/>
        <v>7</v>
      </c>
      <c r="M556" t="str">
        <f t="shared" si="17"/>
        <v>18–34</v>
      </c>
    </row>
    <row r="557" spans="1:13">
      <c r="A557" t="s">
        <v>1063</v>
      </c>
      <c r="B557" t="s">
        <v>1064</v>
      </c>
      <c r="C557">
        <v>60</v>
      </c>
      <c r="D557" t="s">
        <v>13</v>
      </c>
      <c r="E557" s="2">
        <v>45327</v>
      </c>
      <c r="F557" s="2">
        <v>45331</v>
      </c>
      <c r="G557" t="s">
        <v>14</v>
      </c>
      <c r="H557" t="s">
        <v>39</v>
      </c>
      <c r="I557" s="3">
        <v>11688.29</v>
      </c>
      <c r="J557" s="4">
        <v>70</v>
      </c>
      <c r="K557" t="s">
        <v>26</v>
      </c>
      <c r="L557">
        <f t="shared" si="16"/>
        <v>4</v>
      </c>
      <c r="M557" t="str">
        <f t="shared" si="17"/>
        <v>50–64</v>
      </c>
    </row>
    <row r="558" spans="1:13">
      <c r="A558" t="s">
        <v>1065</v>
      </c>
      <c r="B558" t="s">
        <v>1060</v>
      </c>
      <c r="C558">
        <v>42</v>
      </c>
      <c r="D558" t="s">
        <v>13</v>
      </c>
      <c r="E558" s="2">
        <v>45544</v>
      </c>
      <c r="F558" s="2">
        <v>45552</v>
      </c>
      <c r="G558" t="s">
        <v>14</v>
      </c>
      <c r="H558" t="s">
        <v>20</v>
      </c>
      <c r="I558" s="3">
        <v>18692.25</v>
      </c>
      <c r="J558" s="4">
        <v>70</v>
      </c>
      <c r="K558" t="s">
        <v>16</v>
      </c>
      <c r="L558">
        <f t="shared" si="16"/>
        <v>8</v>
      </c>
      <c r="M558" t="str">
        <f t="shared" si="17"/>
        <v>35–49</v>
      </c>
    </row>
    <row r="559" spans="1:13">
      <c r="A559" t="s">
        <v>1066</v>
      </c>
      <c r="B559" t="s">
        <v>1067</v>
      </c>
      <c r="C559">
        <v>10</v>
      </c>
      <c r="D559" t="s">
        <v>13</v>
      </c>
      <c r="E559" s="2">
        <v>45443</v>
      </c>
      <c r="F559" s="2">
        <v>45448</v>
      </c>
      <c r="G559" t="s">
        <v>50</v>
      </c>
      <c r="H559" t="s">
        <v>51</v>
      </c>
      <c r="I559" s="3">
        <v>3371.75</v>
      </c>
      <c r="J559" s="4">
        <v>100</v>
      </c>
      <c r="K559" t="s">
        <v>16</v>
      </c>
      <c r="L559">
        <f t="shared" si="16"/>
        <v>5</v>
      </c>
      <c r="M559" t="str">
        <f t="shared" si="17"/>
        <v>0–17</v>
      </c>
    </row>
    <row r="560" spans="1:13">
      <c r="A560" t="s">
        <v>1068</v>
      </c>
      <c r="B560" t="s">
        <v>857</v>
      </c>
      <c r="C560">
        <v>79</v>
      </c>
      <c r="D560" t="s">
        <v>19</v>
      </c>
      <c r="E560" s="2">
        <v>45516</v>
      </c>
      <c r="F560" s="2">
        <v>45518</v>
      </c>
      <c r="G560" t="s">
        <v>24</v>
      </c>
      <c r="H560" t="s">
        <v>29</v>
      </c>
      <c r="I560" s="3">
        <v>4382.4799999999996</v>
      </c>
      <c r="J560" s="4">
        <v>70</v>
      </c>
      <c r="K560" t="s">
        <v>21</v>
      </c>
      <c r="L560">
        <f t="shared" si="16"/>
        <v>2</v>
      </c>
      <c r="M560" t="str">
        <f t="shared" si="17"/>
        <v>65+</v>
      </c>
    </row>
    <row r="561" spans="1:13">
      <c r="A561" t="s">
        <v>1069</v>
      </c>
      <c r="B561" t="s">
        <v>1070</v>
      </c>
      <c r="C561">
        <v>82</v>
      </c>
      <c r="D561" t="s">
        <v>19</v>
      </c>
      <c r="E561" s="2">
        <v>45549</v>
      </c>
      <c r="F561" s="2">
        <v>45553</v>
      </c>
      <c r="G561" t="s">
        <v>32</v>
      </c>
      <c r="H561" t="s">
        <v>33</v>
      </c>
      <c r="I561" s="3">
        <v>4088.62</v>
      </c>
      <c r="J561" s="4">
        <v>60</v>
      </c>
      <c r="K561" t="s">
        <v>26</v>
      </c>
      <c r="L561">
        <f t="shared" si="16"/>
        <v>4</v>
      </c>
      <c r="M561" t="str">
        <f t="shared" si="17"/>
        <v>65+</v>
      </c>
    </row>
    <row r="562" spans="1:13">
      <c r="A562" t="s">
        <v>1071</v>
      </c>
      <c r="B562" t="s">
        <v>1072</v>
      </c>
      <c r="C562">
        <v>7</v>
      </c>
      <c r="D562" t="s">
        <v>13</v>
      </c>
      <c r="E562" s="2">
        <v>45865</v>
      </c>
      <c r="F562" s="2">
        <v>45868</v>
      </c>
      <c r="G562" t="s">
        <v>50</v>
      </c>
      <c r="H562" t="s">
        <v>379</v>
      </c>
      <c r="I562" s="3">
        <v>3324.31</v>
      </c>
      <c r="J562" s="4">
        <v>80</v>
      </c>
      <c r="K562" t="s">
        <v>26</v>
      </c>
      <c r="L562">
        <f t="shared" si="16"/>
        <v>3</v>
      </c>
      <c r="M562" t="str">
        <f t="shared" si="17"/>
        <v>0–17</v>
      </c>
    </row>
    <row r="563" spans="1:13">
      <c r="A563" t="s">
        <v>1073</v>
      </c>
      <c r="B563" t="s">
        <v>92</v>
      </c>
      <c r="C563">
        <v>25</v>
      </c>
      <c r="D563" t="s">
        <v>13</v>
      </c>
      <c r="E563" s="2">
        <v>45413</v>
      </c>
      <c r="F563" s="2">
        <v>45421</v>
      </c>
      <c r="G563" t="s">
        <v>61</v>
      </c>
      <c r="H563" t="s">
        <v>62</v>
      </c>
      <c r="I563" s="3">
        <v>9961.07</v>
      </c>
      <c r="J563" s="4">
        <v>70</v>
      </c>
      <c r="K563" t="s">
        <v>16</v>
      </c>
      <c r="L563">
        <f t="shared" si="16"/>
        <v>8</v>
      </c>
      <c r="M563" t="str">
        <f t="shared" si="17"/>
        <v>18–34</v>
      </c>
    </row>
    <row r="564" spans="1:13">
      <c r="A564" t="s">
        <v>1074</v>
      </c>
      <c r="B564" t="s">
        <v>1075</v>
      </c>
      <c r="C564">
        <v>77</v>
      </c>
      <c r="D564" t="s">
        <v>13</v>
      </c>
      <c r="E564" s="2">
        <v>45315</v>
      </c>
      <c r="F564" s="2">
        <v>45321</v>
      </c>
      <c r="G564" t="s">
        <v>32</v>
      </c>
      <c r="H564" t="s">
        <v>88</v>
      </c>
      <c r="I564" s="3">
        <v>8841.14</v>
      </c>
      <c r="J564" s="4">
        <v>0</v>
      </c>
      <c r="K564" t="s">
        <v>16</v>
      </c>
      <c r="L564">
        <f t="shared" si="16"/>
        <v>6</v>
      </c>
      <c r="M564" t="str">
        <f t="shared" si="17"/>
        <v>65+</v>
      </c>
    </row>
    <row r="565" spans="1:13">
      <c r="A565" t="s">
        <v>1076</v>
      </c>
      <c r="B565" t="s">
        <v>1077</v>
      </c>
      <c r="C565">
        <v>3</v>
      </c>
      <c r="D565" t="s">
        <v>13</v>
      </c>
      <c r="E565" s="2">
        <v>45756</v>
      </c>
      <c r="F565" s="2">
        <v>45759</v>
      </c>
      <c r="G565" t="s">
        <v>50</v>
      </c>
      <c r="H565" t="s">
        <v>51</v>
      </c>
      <c r="I565" s="3">
        <v>5228.9399999999996</v>
      </c>
      <c r="J565" s="4">
        <v>50</v>
      </c>
      <c r="K565" t="s">
        <v>21</v>
      </c>
      <c r="L565">
        <f t="shared" si="16"/>
        <v>3</v>
      </c>
      <c r="M565" t="str">
        <f t="shared" si="17"/>
        <v>0–17</v>
      </c>
    </row>
    <row r="566" spans="1:13">
      <c r="A566" t="s">
        <v>1078</v>
      </c>
      <c r="B566" t="s">
        <v>1079</v>
      </c>
      <c r="C566">
        <v>47</v>
      </c>
      <c r="D566" t="s">
        <v>13</v>
      </c>
      <c r="E566" s="2">
        <v>45966</v>
      </c>
      <c r="F566" s="2">
        <v>45971</v>
      </c>
      <c r="G566" t="s">
        <v>32</v>
      </c>
      <c r="H566" t="s">
        <v>115</v>
      </c>
      <c r="I566" s="3">
        <v>6395.28</v>
      </c>
      <c r="J566" s="4">
        <v>90</v>
      </c>
      <c r="K566" t="s">
        <v>16</v>
      </c>
      <c r="L566">
        <f t="shared" si="16"/>
        <v>5</v>
      </c>
      <c r="M566" t="str">
        <f t="shared" si="17"/>
        <v>35–49</v>
      </c>
    </row>
    <row r="567" spans="1:13">
      <c r="A567" t="s">
        <v>1080</v>
      </c>
      <c r="B567" t="s">
        <v>347</v>
      </c>
      <c r="C567">
        <v>68</v>
      </c>
      <c r="D567" t="s">
        <v>19</v>
      </c>
      <c r="E567" s="2">
        <v>45516</v>
      </c>
      <c r="F567" s="2">
        <v>45517</v>
      </c>
      <c r="G567" t="s">
        <v>32</v>
      </c>
      <c r="H567" t="s">
        <v>88</v>
      </c>
      <c r="I567" s="3">
        <v>973.65</v>
      </c>
      <c r="J567" s="4">
        <v>80</v>
      </c>
      <c r="K567" t="s">
        <v>21</v>
      </c>
      <c r="L567">
        <f t="shared" si="16"/>
        <v>1</v>
      </c>
      <c r="M567" t="str">
        <f t="shared" si="17"/>
        <v>65+</v>
      </c>
    </row>
    <row r="568" spans="1:13">
      <c r="A568" t="s">
        <v>1081</v>
      </c>
      <c r="B568" t="s">
        <v>413</v>
      </c>
      <c r="C568">
        <v>52</v>
      </c>
      <c r="D568" t="s">
        <v>13</v>
      </c>
      <c r="E568" s="2">
        <v>45724</v>
      </c>
      <c r="F568" s="2">
        <v>45729</v>
      </c>
      <c r="G568" t="s">
        <v>14</v>
      </c>
      <c r="H568" t="s">
        <v>39</v>
      </c>
      <c r="I568" s="3">
        <v>10137.39</v>
      </c>
      <c r="J568" s="4">
        <v>70</v>
      </c>
      <c r="K568" t="s">
        <v>26</v>
      </c>
      <c r="L568">
        <f t="shared" si="16"/>
        <v>5</v>
      </c>
      <c r="M568" t="str">
        <f t="shared" si="17"/>
        <v>50–64</v>
      </c>
    </row>
    <row r="569" spans="1:13">
      <c r="A569" t="s">
        <v>1082</v>
      </c>
      <c r="B569" t="s">
        <v>440</v>
      </c>
      <c r="C569">
        <v>28</v>
      </c>
      <c r="D569" t="s">
        <v>19</v>
      </c>
      <c r="E569" s="2">
        <v>45300</v>
      </c>
      <c r="F569" s="2">
        <v>45312</v>
      </c>
      <c r="G569" t="s">
        <v>61</v>
      </c>
      <c r="H569" t="s">
        <v>78</v>
      </c>
      <c r="I569" s="3">
        <v>22947.49</v>
      </c>
      <c r="J569" s="4">
        <v>80</v>
      </c>
      <c r="K569" t="s">
        <v>16</v>
      </c>
      <c r="L569">
        <f t="shared" si="16"/>
        <v>12</v>
      </c>
      <c r="M569" t="str">
        <f t="shared" si="17"/>
        <v>18–34</v>
      </c>
    </row>
    <row r="570" spans="1:13">
      <c r="A570" t="s">
        <v>1083</v>
      </c>
      <c r="B570" t="s">
        <v>1084</v>
      </c>
      <c r="C570">
        <v>67</v>
      </c>
      <c r="D570" t="s">
        <v>13</v>
      </c>
      <c r="E570" s="2">
        <v>45553</v>
      </c>
      <c r="F570" s="2">
        <v>45555</v>
      </c>
      <c r="G570" t="s">
        <v>61</v>
      </c>
      <c r="H570" t="s">
        <v>134</v>
      </c>
      <c r="I570" s="3">
        <v>2438.71</v>
      </c>
      <c r="J570" s="4">
        <v>70</v>
      </c>
      <c r="K570" t="s">
        <v>26</v>
      </c>
      <c r="L570">
        <f t="shared" si="16"/>
        <v>2</v>
      </c>
      <c r="M570" t="str">
        <f t="shared" si="17"/>
        <v>65+</v>
      </c>
    </row>
    <row r="571" spans="1:13">
      <c r="A571" t="s">
        <v>1085</v>
      </c>
      <c r="B571" t="s">
        <v>751</v>
      </c>
      <c r="C571">
        <v>55</v>
      </c>
      <c r="D571" t="s">
        <v>19</v>
      </c>
      <c r="E571" s="2">
        <v>45360</v>
      </c>
      <c r="F571" s="2">
        <v>45362</v>
      </c>
      <c r="G571" t="s">
        <v>24</v>
      </c>
      <c r="H571" t="s">
        <v>334</v>
      </c>
      <c r="I571" s="3">
        <v>1963.87</v>
      </c>
      <c r="J571" s="4">
        <v>80</v>
      </c>
      <c r="K571" t="s">
        <v>26</v>
      </c>
      <c r="L571">
        <f t="shared" si="16"/>
        <v>2</v>
      </c>
      <c r="M571" t="str">
        <f t="shared" si="17"/>
        <v>50–64</v>
      </c>
    </row>
    <row r="572" spans="1:13">
      <c r="A572" t="s">
        <v>1086</v>
      </c>
      <c r="B572" t="s">
        <v>1052</v>
      </c>
      <c r="C572">
        <v>12</v>
      </c>
      <c r="D572" t="s">
        <v>13</v>
      </c>
      <c r="E572" s="2">
        <v>45831</v>
      </c>
      <c r="F572" s="2">
        <v>45834</v>
      </c>
      <c r="G572" t="s">
        <v>50</v>
      </c>
      <c r="H572" t="s">
        <v>124</v>
      </c>
      <c r="I572" s="3">
        <v>3527.16</v>
      </c>
      <c r="J572" s="4">
        <v>70</v>
      </c>
      <c r="K572" t="s">
        <v>16</v>
      </c>
      <c r="L572">
        <f t="shared" si="16"/>
        <v>3</v>
      </c>
      <c r="M572" t="str">
        <f t="shared" si="17"/>
        <v>0–17</v>
      </c>
    </row>
    <row r="573" spans="1:13">
      <c r="A573" t="s">
        <v>1087</v>
      </c>
      <c r="B573" t="s">
        <v>1088</v>
      </c>
      <c r="C573">
        <v>35</v>
      </c>
      <c r="D573" t="s">
        <v>13</v>
      </c>
      <c r="E573" s="2">
        <v>45864</v>
      </c>
      <c r="F573" s="2">
        <v>45867</v>
      </c>
      <c r="G573" t="s">
        <v>24</v>
      </c>
      <c r="H573" t="s">
        <v>334</v>
      </c>
      <c r="I573" s="3">
        <v>5342.79</v>
      </c>
      <c r="J573" s="4">
        <v>70</v>
      </c>
      <c r="K573" t="s">
        <v>16</v>
      </c>
      <c r="L573">
        <f t="shared" si="16"/>
        <v>3</v>
      </c>
      <c r="M573" t="str">
        <f t="shared" si="17"/>
        <v>35–49</v>
      </c>
    </row>
    <row r="574" spans="1:13">
      <c r="A574" t="s">
        <v>1089</v>
      </c>
      <c r="B574" t="s">
        <v>1090</v>
      </c>
      <c r="C574">
        <v>30</v>
      </c>
      <c r="D574" t="s">
        <v>19</v>
      </c>
      <c r="E574" s="2">
        <v>45523</v>
      </c>
      <c r="F574" s="2">
        <v>45535</v>
      </c>
      <c r="G574" t="s">
        <v>61</v>
      </c>
      <c r="H574" t="s">
        <v>78</v>
      </c>
      <c r="I574" s="3">
        <v>30203.49</v>
      </c>
      <c r="J574" s="4">
        <v>100</v>
      </c>
      <c r="K574" t="s">
        <v>21</v>
      </c>
      <c r="L574">
        <f t="shared" si="16"/>
        <v>12</v>
      </c>
      <c r="M574" t="str">
        <f t="shared" si="17"/>
        <v>18–34</v>
      </c>
    </row>
    <row r="575" spans="1:13">
      <c r="A575" t="s">
        <v>1091</v>
      </c>
      <c r="B575" t="s">
        <v>607</v>
      </c>
      <c r="C575">
        <v>69</v>
      </c>
      <c r="D575" t="s">
        <v>13</v>
      </c>
      <c r="E575" s="2">
        <v>45407</v>
      </c>
      <c r="F575" s="2">
        <v>45413</v>
      </c>
      <c r="G575" t="s">
        <v>61</v>
      </c>
      <c r="H575" t="s">
        <v>78</v>
      </c>
      <c r="I575" s="3">
        <v>7312.84</v>
      </c>
      <c r="J575" s="4">
        <v>70</v>
      </c>
      <c r="K575" t="s">
        <v>21</v>
      </c>
      <c r="L575">
        <f t="shared" si="16"/>
        <v>6</v>
      </c>
      <c r="M575" t="str">
        <f t="shared" si="17"/>
        <v>65+</v>
      </c>
    </row>
    <row r="576" spans="1:13">
      <c r="A576" t="s">
        <v>1092</v>
      </c>
      <c r="B576" t="s">
        <v>694</v>
      </c>
      <c r="C576">
        <v>34</v>
      </c>
      <c r="D576" t="s">
        <v>19</v>
      </c>
      <c r="E576" s="2">
        <v>45443</v>
      </c>
      <c r="F576" s="2">
        <v>45447</v>
      </c>
      <c r="G576" t="s">
        <v>32</v>
      </c>
      <c r="H576" t="s">
        <v>235</v>
      </c>
      <c r="I576" s="3">
        <v>4926.28</v>
      </c>
      <c r="J576" s="4">
        <v>90</v>
      </c>
      <c r="K576" t="s">
        <v>16</v>
      </c>
      <c r="L576">
        <f t="shared" si="16"/>
        <v>4</v>
      </c>
      <c r="M576" t="str">
        <f t="shared" si="17"/>
        <v>18–34</v>
      </c>
    </row>
    <row r="577" spans="1:13">
      <c r="A577" t="s">
        <v>1093</v>
      </c>
      <c r="B577" t="s">
        <v>1094</v>
      </c>
      <c r="C577">
        <v>84</v>
      </c>
      <c r="D577" t="s">
        <v>19</v>
      </c>
      <c r="E577" s="2">
        <v>45906</v>
      </c>
      <c r="F577" s="2">
        <v>45908</v>
      </c>
      <c r="G577" t="s">
        <v>24</v>
      </c>
      <c r="H577" t="s">
        <v>29</v>
      </c>
      <c r="I577" s="3">
        <v>3526.66</v>
      </c>
      <c r="J577" s="4">
        <v>100</v>
      </c>
      <c r="K577" t="s">
        <v>26</v>
      </c>
      <c r="L577">
        <f t="shared" si="16"/>
        <v>2</v>
      </c>
      <c r="M577" t="str">
        <f t="shared" si="17"/>
        <v>65+</v>
      </c>
    </row>
    <row r="578" spans="1:13">
      <c r="A578" t="s">
        <v>1095</v>
      </c>
      <c r="B578" t="s">
        <v>1096</v>
      </c>
      <c r="C578">
        <v>76</v>
      </c>
      <c r="D578" t="s">
        <v>19</v>
      </c>
      <c r="E578" s="2">
        <v>45777</v>
      </c>
      <c r="F578" s="2">
        <v>45781</v>
      </c>
      <c r="G578" t="s">
        <v>32</v>
      </c>
      <c r="H578" t="s">
        <v>115</v>
      </c>
      <c r="I578" s="3">
        <v>3004.47</v>
      </c>
      <c r="J578" s="4">
        <v>80</v>
      </c>
      <c r="K578" t="s">
        <v>16</v>
      </c>
      <c r="L578">
        <f t="shared" si="16"/>
        <v>4</v>
      </c>
      <c r="M578" t="str">
        <f t="shared" si="17"/>
        <v>65+</v>
      </c>
    </row>
    <row r="579" spans="1:13">
      <c r="A579" t="s">
        <v>1097</v>
      </c>
      <c r="B579" t="s">
        <v>1098</v>
      </c>
      <c r="C579">
        <v>55</v>
      </c>
      <c r="D579" t="s">
        <v>13</v>
      </c>
      <c r="E579" s="2">
        <v>45799</v>
      </c>
      <c r="F579" s="2">
        <v>45800</v>
      </c>
      <c r="G579" t="s">
        <v>24</v>
      </c>
      <c r="H579" t="s">
        <v>205</v>
      </c>
      <c r="I579" s="3">
        <v>988.47</v>
      </c>
      <c r="J579" s="4">
        <v>90</v>
      </c>
      <c r="K579" t="s">
        <v>16</v>
      </c>
      <c r="L579">
        <f t="shared" ref="L579:L642" si="18">F579-E579</f>
        <v>1</v>
      </c>
      <c r="M579" t="str">
        <f t="shared" ref="M579:M642" si="19">IF(C579&lt;=17,"0–17",IF(C579&lt;=34,"18–34",IF(C579&lt;=49,"35–49",IF(C579&lt;=64,"50–64","65+"))))</f>
        <v>50–64</v>
      </c>
    </row>
    <row r="580" spans="1:13">
      <c r="A580" t="s">
        <v>1099</v>
      </c>
      <c r="B580" t="s">
        <v>1100</v>
      </c>
      <c r="C580">
        <v>63</v>
      </c>
      <c r="D580" t="s">
        <v>19</v>
      </c>
      <c r="E580" s="2">
        <v>45845</v>
      </c>
      <c r="F580" s="2">
        <v>45852</v>
      </c>
      <c r="G580" t="s">
        <v>14</v>
      </c>
      <c r="H580" t="s">
        <v>166</v>
      </c>
      <c r="I580" s="3">
        <v>8993.9699999999993</v>
      </c>
      <c r="J580" s="4">
        <v>60</v>
      </c>
      <c r="K580" t="s">
        <v>16</v>
      </c>
      <c r="L580">
        <f t="shared" si="18"/>
        <v>7</v>
      </c>
      <c r="M580" t="str">
        <f t="shared" si="19"/>
        <v>50–64</v>
      </c>
    </row>
    <row r="581" spans="1:13">
      <c r="A581" t="s">
        <v>1101</v>
      </c>
      <c r="B581" t="s">
        <v>1102</v>
      </c>
      <c r="C581">
        <v>66</v>
      </c>
      <c r="D581" t="s">
        <v>13</v>
      </c>
      <c r="E581" s="2">
        <v>45839</v>
      </c>
      <c r="F581" s="2">
        <v>45843</v>
      </c>
      <c r="G581" t="s">
        <v>14</v>
      </c>
      <c r="H581" t="s">
        <v>103</v>
      </c>
      <c r="I581" s="3">
        <v>7934.14</v>
      </c>
      <c r="J581" s="4">
        <v>80</v>
      </c>
      <c r="K581" t="s">
        <v>16</v>
      </c>
      <c r="L581">
        <f t="shared" si="18"/>
        <v>4</v>
      </c>
      <c r="M581" t="str">
        <f t="shared" si="19"/>
        <v>65+</v>
      </c>
    </row>
    <row r="582" spans="1:13">
      <c r="A582" t="s">
        <v>1103</v>
      </c>
      <c r="B582" t="s">
        <v>1104</v>
      </c>
      <c r="C582">
        <v>35</v>
      </c>
      <c r="D582" t="s">
        <v>19</v>
      </c>
      <c r="E582" s="2">
        <v>45923</v>
      </c>
      <c r="F582" s="2">
        <v>45926</v>
      </c>
      <c r="G582" t="s">
        <v>24</v>
      </c>
      <c r="H582" t="s">
        <v>222</v>
      </c>
      <c r="I582" s="3">
        <v>2517.29</v>
      </c>
      <c r="J582" s="4">
        <v>80</v>
      </c>
      <c r="K582" t="s">
        <v>16</v>
      </c>
      <c r="L582">
        <f t="shared" si="18"/>
        <v>3</v>
      </c>
      <c r="M582" t="str">
        <f t="shared" si="19"/>
        <v>35–49</v>
      </c>
    </row>
    <row r="583" spans="1:13">
      <c r="A583" t="s">
        <v>1105</v>
      </c>
      <c r="B583" t="s">
        <v>1106</v>
      </c>
      <c r="C583">
        <v>48</v>
      </c>
      <c r="D583" t="s">
        <v>13</v>
      </c>
      <c r="E583" s="2">
        <v>45473</v>
      </c>
      <c r="F583" s="2">
        <v>45481</v>
      </c>
      <c r="G583" t="s">
        <v>14</v>
      </c>
      <c r="H583" t="s">
        <v>15</v>
      </c>
      <c r="I583" s="3">
        <v>12873.58</v>
      </c>
      <c r="J583" s="4">
        <v>70</v>
      </c>
      <c r="K583" t="s">
        <v>21</v>
      </c>
      <c r="L583">
        <f t="shared" si="18"/>
        <v>8</v>
      </c>
      <c r="M583" t="str">
        <f t="shared" si="19"/>
        <v>35–49</v>
      </c>
    </row>
    <row r="584" spans="1:13">
      <c r="A584" t="s">
        <v>1107</v>
      </c>
      <c r="B584" t="s">
        <v>1108</v>
      </c>
      <c r="C584">
        <v>73</v>
      </c>
      <c r="D584" t="s">
        <v>19</v>
      </c>
      <c r="E584" s="2">
        <v>45906</v>
      </c>
      <c r="F584" s="2">
        <v>45910</v>
      </c>
      <c r="G584" t="s">
        <v>32</v>
      </c>
      <c r="H584" t="s">
        <v>33</v>
      </c>
      <c r="I584" s="3">
        <v>5208.9799999999996</v>
      </c>
      <c r="J584" s="4">
        <v>80</v>
      </c>
      <c r="K584" t="s">
        <v>16</v>
      </c>
      <c r="L584">
        <f t="shared" si="18"/>
        <v>4</v>
      </c>
      <c r="M584" t="str">
        <f t="shared" si="19"/>
        <v>65+</v>
      </c>
    </row>
    <row r="585" spans="1:13">
      <c r="A585" t="s">
        <v>1109</v>
      </c>
      <c r="B585" t="s">
        <v>1110</v>
      </c>
      <c r="C585">
        <v>80</v>
      </c>
      <c r="D585" t="s">
        <v>13</v>
      </c>
      <c r="E585" s="2">
        <v>45489</v>
      </c>
      <c r="F585" s="2">
        <v>45498</v>
      </c>
      <c r="G585" t="s">
        <v>14</v>
      </c>
      <c r="H585" t="s">
        <v>20</v>
      </c>
      <c r="I585" s="3">
        <v>16136.12</v>
      </c>
      <c r="J585" s="4">
        <v>100</v>
      </c>
      <c r="K585" t="s">
        <v>16</v>
      </c>
      <c r="L585">
        <f t="shared" si="18"/>
        <v>9</v>
      </c>
      <c r="M585" t="str">
        <f t="shared" si="19"/>
        <v>65+</v>
      </c>
    </row>
    <row r="586" spans="1:13">
      <c r="A586" t="s">
        <v>1111</v>
      </c>
      <c r="B586" t="s">
        <v>718</v>
      </c>
      <c r="C586">
        <v>10</v>
      </c>
      <c r="D586" t="s">
        <v>19</v>
      </c>
      <c r="E586" s="2">
        <v>45873</v>
      </c>
      <c r="F586" s="2">
        <v>45877</v>
      </c>
      <c r="G586" t="s">
        <v>50</v>
      </c>
      <c r="H586" t="s">
        <v>121</v>
      </c>
      <c r="I586" s="3">
        <v>4827.5</v>
      </c>
      <c r="J586" s="4">
        <v>80</v>
      </c>
      <c r="K586" t="s">
        <v>26</v>
      </c>
      <c r="L586">
        <f t="shared" si="18"/>
        <v>4</v>
      </c>
      <c r="M586" t="str">
        <f t="shared" si="19"/>
        <v>0–17</v>
      </c>
    </row>
    <row r="587" spans="1:13">
      <c r="A587" t="s">
        <v>1112</v>
      </c>
      <c r="B587" t="s">
        <v>450</v>
      </c>
      <c r="C587">
        <v>19</v>
      </c>
      <c r="D587" t="s">
        <v>13</v>
      </c>
      <c r="E587" s="2">
        <v>45850</v>
      </c>
      <c r="F587" s="2">
        <v>45853</v>
      </c>
      <c r="G587" t="s">
        <v>24</v>
      </c>
      <c r="H587" t="s">
        <v>29</v>
      </c>
      <c r="I587" s="3">
        <v>6858.75</v>
      </c>
      <c r="J587" s="4">
        <v>80</v>
      </c>
      <c r="K587" t="s">
        <v>21</v>
      </c>
      <c r="L587">
        <f t="shared" si="18"/>
        <v>3</v>
      </c>
      <c r="M587" t="str">
        <f t="shared" si="19"/>
        <v>18–34</v>
      </c>
    </row>
    <row r="588" spans="1:13">
      <c r="A588" t="s">
        <v>1113</v>
      </c>
      <c r="B588" t="s">
        <v>1114</v>
      </c>
      <c r="C588">
        <v>9</v>
      </c>
      <c r="D588" t="s">
        <v>19</v>
      </c>
      <c r="E588" s="2">
        <v>45612</v>
      </c>
      <c r="F588" s="2">
        <v>45617</v>
      </c>
      <c r="G588" t="s">
        <v>50</v>
      </c>
      <c r="H588" t="s">
        <v>124</v>
      </c>
      <c r="I588" s="3">
        <v>6485.39</v>
      </c>
      <c r="J588" s="4">
        <v>70</v>
      </c>
      <c r="K588" t="s">
        <v>26</v>
      </c>
      <c r="L588">
        <f t="shared" si="18"/>
        <v>5</v>
      </c>
      <c r="M588" t="str">
        <f t="shared" si="19"/>
        <v>0–17</v>
      </c>
    </row>
    <row r="589" spans="1:13">
      <c r="A589" t="s">
        <v>1115</v>
      </c>
      <c r="B589" t="s">
        <v>1116</v>
      </c>
      <c r="C589">
        <v>71</v>
      </c>
      <c r="D589" t="s">
        <v>13</v>
      </c>
      <c r="E589" s="2">
        <v>45498</v>
      </c>
      <c r="F589" s="2">
        <v>45502</v>
      </c>
      <c r="G589" t="s">
        <v>32</v>
      </c>
      <c r="H589" t="s">
        <v>54</v>
      </c>
      <c r="I589" s="3">
        <v>5888.84</v>
      </c>
      <c r="J589" s="4">
        <v>60</v>
      </c>
      <c r="K589" t="s">
        <v>16</v>
      </c>
      <c r="L589">
        <f t="shared" si="18"/>
        <v>4</v>
      </c>
      <c r="M589" t="str">
        <f t="shared" si="19"/>
        <v>65+</v>
      </c>
    </row>
    <row r="590" spans="1:13">
      <c r="A590" t="s">
        <v>1117</v>
      </c>
      <c r="B590" t="s">
        <v>1118</v>
      </c>
      <c r="C590">
        <v>57</v>
      </c>
      <c r="D590" t="s">
        <v>13</v>
      </c>
      <c r="E590" s="2">
        <v>45748</v>
      </c>
      <c r="F590" s="2">
        <v>45749</v>
      </c>
      <c r="G590" t="s">
        <v>32</v>
      </c>
      <c r="H590" t="s">
        <v>115</v>
      </c>
      <c r="I590" s="3">
        <v>988.37</v>
      </c>
      <c r="J590" s="4">
        <v>90</v>
      </c>
      <c r="K590" t="s">
        <v>16</v>
      </c>
      <c r="L590">
        <f t="shared" si="18"/>
        <v>1</v>
      </c>
      <c r="M590" t="str">
        <f t="shared" si="19"/>
        <v>50–64</v>
      </c>
    </row>
    <row r="591" spans="1:13">
      <c r="A591" t="s">
        <v>1119</v>
      </c>
      <c r="B591" t="s">
        <v>1120</v>
      </c>
      <c r="C591">
        <v>41</v>
      </c>
      <c r="D591" t="s">
        <v>13</v>
      </c>
      <c r="E591" s="2">
        <v>45304</v>
      </c>
      <c r="F591" s="2">
        <v>45317</v>
      </c>
      <c r="G591" t="s">
        <v>61</v>
      </c>
      <c r="H591" t="s">
        <v>134</v>
      </c>
      <c r="I591" s="3">
        <v>20871.689999999999</v>
      </c>
      <c r="J591" s="4">
        <v>60</v>
      </c>
      <c r="K591" t="s">
        <v>26</v>
      </c>
      <c r="L591">
        <f t="shared" si="18"/>
        <v>13</v>
      </c>
      <c r="M591" t="str">
        <f t="shared" si="19"/>
        <v>35–49</v>
      </c>
    </row>
    <row r="592" spans="1:13">
      <c r="A592" t="s">
        <v>1121</v>
      </c>
      <c r="B592" t="s">
        <v>1122</v>
      </c>
      <c r="C592">
        <v>44</v>
      </c>
      <c r="D592" t="s">
        <v>19</v>
      </c>
      <c r="E592" s="2">
        <v>45926</v>
      </c>
      <c r="F592" s="2">
        <v>45932</v>
      </c>
      <c r="G592" t="s">
        <v>71</v>
      </c>
      <c r="H592" t="s">
        <v>158</v>
      </c>
      <c r="I592" s="3">
        <v>14061.87</v>
      </c>
      <c r="J592" s="4">
        <v>50</v>
      </c>
      <c r="K592" t="s">
        <v>16</v>
      </c>
      <c r="L592">
        <f t="shared" si="18"/>
        <v>6</v>
      </c>
      <c r="M592" t="str">
        <f t="shared" si="19"/>
        <v>35–49</v>
      </c>
    </row>
    <row r="593" spans="1:13">
      <c r="A593" t="s">
        <v>1123</v>
      </c>
      <c r="B593" t="s">
        <v>1124</v>
      </c>
      <c r="C593">
        <v>74</v>
      </c>
      <c r="D593" t="s">
        <v>13</v>
      </c>
      <c r="E593" s="2">
        <v>45559</v>
      </c>
      <c r="F593" s="2">
        <v>45562</v>
      </c>
      <c r="G593" t="s">
        <v>32</v>
      </c>
      <c r="H593" t="s">
        <v>36</v>
      </c>
      <c r="I593" s="3">
        <v>3702.92</v>
      </c>
      <c r="J593" s="4">
        <v>70</v>
      </c>
      <c r="K593" t="s">
        <v>21</v>
      </c>
      <c r="L593">
        <f t="shared" si="18"/>
        <v>3</v>
      </c>
      <c r="M593" t="str">
        <f t="shared" si="19"/>
        <v>65+</v>
      </c>
    </row>
    <row r="594" spans="1:13">
      <c r="A594" t="s">
        <v>1125</v>
      </c>
      <c r="B594" t="s">
        <v>1126</v>
      </c>
      <c r="C594">
        <v>42</v>
      </c>
      <c r="D594" t="s">
        <v>13</v>
      </c>
      <c r="E594" s="2">
        <v>45382</v>
      </c>
      <c r="F594" s="2">
        <v>45386</v>
      </c>
      <c r="G594" t="s">
        <v>14</v>
      </c>
      <c r="H594" t="s">
        <v>103</v>
      </c>
      <c r="I594" s="3">
        <v>6940.9</v>
      </c>
      <c r="J594" s="4">
        <v>70</v>
      </c>
      <c r="K594" t="s">
        <v>16</v>
      </c>
      <c r="L594">
        <f t="shared" si="18"/>
        <v>4</v>
      </c>
      <c r="M594" t="str">
        <f t="shared" si="19"/>
        <v>35–49</v>
      </c>
    </row>
    <row r="595" spans="1:13">
      <c r="A595" t="s">
        <v>1127</v>
      </c>
      <c r="B595" t="s">
        <v>942</v>
      </c>
      <c r="C595">
        <v>74</v>
      </c>
      <c r="D595" t="s">
        <v>13</v>
      </c>
      <c r="E595" s="2">
        <v>45849</v>
      </c>
      <c r="F595" s="2">
        <v>45858</v>
      </c>
      <c r="G595" t="s">
        <v>14</v>
      </c>
      <c r="H595" t="s">
        <v>20</v>
      </c>
      <c r="I595" s="3">
        <v>25312.2</v>
      </c>
      <c r="J595" s="4">
        <v>70</v>
      </c>
      <c r="K595" t="s">
        <v>21</v>
      </c>
      <c r="L595">
        <f t="shared" si="18"/>
        <v>9</v>
      </c>
      <c r="M595" t="str">
        <f t="shared" si="19"/>
        <v>65+</v>
      </c>
    </row>
    <row r="596" spans="1:13">
      <c r="A596" t="s">
        <v>1128</v>
      </c>
      <c r="B596" t="s">
        <v>1129</v>
      </c>
      <c r="C596">
        <v>20</v>
      </c>
      <c r="D596" t="s">
        <v>13</v>
      </c>
      <c r="E596" s="2">
        <v>45739</v>
      </c>
      <c r="F596" s="2">
        <v>45742</v>
      </c>
      <c r="G596" t="s">
        <v>24</v>
      </c>
      <c r="H596" t="s">
        <v>205</v>
      </c>
      <c r="I596" s="3">
        <v>4859.2700000000004</v>
      </c>
      <c r="J596" s="4">
        <v>60</v>
      </c>
      <c r="K596" t="s">
        <v>21</v>
      </c>
      <c r="L596">
        <f t="shared" si="18"/>
        <v>3</v>
      </c>
      <c r="M596" t="str">
        <f t="shared" si="19"/>
        <v>18–34</v>
      </c>
    </row>
    <row r="597" spans="1:13">
      <c r="A597" t="s">
        <v>1130</v>
      </c>
      <c r="B597" t="s">
        <v>1131</v>
      </c>
      <c r="C597">
        <v>7</v>
      </c>
      <c r="D597" t="s">
        <v>19</v>
      </c>
      <c r="E597" s="2">
        <v>45654</v>
      </c>
      <c r="F597" s="2">
        <v>45658</v>
      </c>
      <c r="G597" t="s">
        <v>50</v>
      </c>
      <c r="H597" t="s">
        <v>131</v>
      </c>
      <c r="I597" s="3">
        <v>5071.3900000000003</v>
      </c>
      <c r="J597" s="4">
        <v>90</v>
      </c>
      <c r="K597" t="s">
        <v>26</v>
      </c>
      <c r="L597">
        <f t="shared" si="18"/>
        <v>4</v>
      </c>
      <c r="M597" t="str">
        <f t="shared" si="19"/>
        <v>0–17</v>
      </c>
    </row>
    <row r="598" spans="1:13">
      <c r="A598" t="s">
        <v>1132</v>
      </c>
      <c r="B598" t="s">
        <v>1133</v>
      </c>
      <c r="C598">
        <v>46</v>
      </c>
      <c r="D598" t="s">
        <v>19</v>
      </c>
      <c r="E598" s="2">
        <v>45394</v>
      </c>
      <c r="F598" s="2">
        <v>45395</v>
      </c>
      <c r="G598" t="s">
        <v>32</v>
      </c>
      <c r="H598" t="s">
        <v>45</v>
      </c>
      <c r="I598" s="3">
        <v>826.69</v>
      </c>
      <c r="J598" s="4">
        <v>80</v>
      </c>
      <c r="K598" t="s">
        <v>16</v>
      </c>
      <c r="L598">
        <f t="shared" si="18"/>
        <v>1</v>
      </c>
      <c r="M598" t="str">
        <f t="shared" si="19"/>
        <v>35–49</v>
      </c>
    </row>
    <row r="599" spans="1:13">
      <c r="A599" t="s">
        <v>1134</v>
      </c>
      <c r="B599" t="s">
        <v>878</v>
      </c>
      <c r="C599">
        <v>75</v>
      </c>
      <c r="D599" t="s">
        <v>13</v>
      </c>
      <c r="E599" s="2">
        <v>45466</v>
      </c>
      <c r="F599" s="2">
        <v>45469</v>
      </c>
      <c r="G599" t="s">
        <v>24</v>
      </c>
      <c r="H599" t="s">
        <v>25</v>
      </c>
      <c r="I599" s="3">
        <v>3573.44</v>
      </c>
      <c r="J599" s="4">
        <v>80</v>
      </c>
      <c r="K599" t="s">
        <v>16</v>
      </c>
      <c r="L599">
        <f t="shared" si="18"/>
        <v>3</v>
      </c>
      <c r="M599" t="str">
        <f t="shared" si="19"/>
        <v>65+</v>
      </c>
    </row>
    <row r="600" spans="1:13">
      <c r="A600" t="s">
        <v>1135</v>
      </c>
      <c r="B600" t="s">
        <v>1136</v>
      </c>
      <c r="C600">
        <v>17</v>
      </c>
      <c r="D600" t="s">
        <v>19</v>
      </c>
      <c r="E600" s="2">
        <v>45621</v>
      </c>
      <c r="F600" s="2">
        <v>45623</v>
      </c>
      <c r="G600" t="s">
        <v>50</v>
      </c>
      <c r="H600" t="s">
        <v>131</v>
      </c>
      <c r="I600" s="3">
        <v>3120.86</v>
      </c>
      <c r="J600" s="4">
        <v>70</v>
      </c>
      <c r="K600" t="s">
        <v>16</v>
      </c>
      <c r="L600">
        <f t="shared" si="18"/>
        <v>2</v>
      </c>
      <c r="M600" t="str">
        <f t="shared" si="19"/>
        <v>0–17</v>
      </c>
    </row>
    <row r="601" spans="1:13">
      <c r="A601" t="s">
        <v>1137</v>
      </c>
      <c r="B601" t="s">
        <v>1138</v>
      </c>
      <c r="C601">
        <v>36</v>
      </c>
      <c r="D601" t="s">
        <v>19</v>
      </c>
      <c r="E601" s="2">
        <v>45741</v>
      </c>
      <c r="F601" s="2">
        <v>45742</v>
      </c>
      <c r="G601" t="s">
        <v>24</v>
      </c>
      <c r="H601" t="s">
        <v>222</v>
      </c>
      <c r="I601" s="3">
        <v>1050.82</v>
      </c>
      <c r="J601" s="4">
        <v>70</v>
      </c>
      <c r="K601" t="s">
        <v>21</v>
      </c>
      <c r="L601">
        <f t="shared" si="18"/>
        <v>1</v>
      </c>
      <c r="M601" t="str">
        <f t="shared" si="19"/>
        <v>35–49</v>
      </c>
    </row>
    <row r="602" spans="1:13">
      <c r="A602" t="s">
        <v>1139</v>
      </c>
      <c r="B602" t="s">
        <v>1140</v>
      </c>
      <c r="C602">
        <v>58</v>
      </c>
      <c r="D602" t="s">
        <v>19</v>
      </c>
      <c r="E602" s="2">
        <v>45368</v>
      </c>
      <c r="F602" s="2">
        <v>45371</v>
      </c>
      <c r="G602" t="s">
        <v>24</v>
      </c>
      <c r="H602" t="s">
        <v>25</v>
      </c>
      <c r="I602" s="3">
        <v>4246.95</v>
      </c>
      <c r="J602" s="4">
        <v>70</v>
      </c>
      <c r="K602" t="s">
        <v>26</v>
      </c>
      <c r="L602">
        <f t="shared" si="18"/>
        <v>3</v>
      </c>
      <c r="M602" t="str">
        <f t="shared" si="19"/>
        <v>50–64</v>
      </c>
    </row>
    <row r="603" spans="1:13">
      <c r="A603" t="s">
        <v>1141</v>
      </c>
      <c r="B603" t="s">
        <v>1142</v>
      </c>
      <c r="C603">
        <v>24</v>
      </c>
      <c r="D603" t="s">
        <v>13</v>
      </c>
      <c r="E603" s="2">
        <v>45918</v>
      </c>
      <c r="F603" s="2">
        <v>45921</v>
      </c>
      <c r="G603" t="s">
        <v>24</v>
      </c>
      <c r="H603" t="s">
        <v>334</v>
      </c>
      <c r="I603" s="3">
        <v>3111.41</v>
      </c>
      <c r="J603" s="4">
        <v>90</v>
      </c>
      <c r="K603" t="s">
        <v>16</v>
      </c>
      <c r="L603">
        <f t="shared" si="18"/>
        <v>3</v>
      </c>
      <c r="M603" t="str">
        <f t="shared" si="19"/>
        <v>18–34</v>
      </c>
    </row>
    <row r="604" spans="1:13">
      <c r="A604" t="s">
        <v>1143</v>
      </c>
      <c r="B604" t="s">
        <v>440</v>
      </c>
      <c r="C604">
        <v>56</v>
      </c>
      <c r="D604" t="s">
        <v>19</v>
      </c>
      <c r="E604" s="2">
        <v>45630</v>
      </c>
      <c r="F604" s="2">
        <v>45635</v>
      </c>
      <c r="G604" t="s">
        <v>32</v>
      </c>
      <c r="H604" t="s">
        <v>33</v>
      </c>
      <c r="I604" s="3">
        <v>6980.98</v>
      </c>
      <c r="J604" s="4">
        <v>90</v>
      </c>
      <c r="K604" t="s">
        <v>16</v>
      </c>
      <c r="L604">
        <f t="shared" si="18"/>
        <v>5</v>
      </c>
      <c r="M604" t="str">
        <f t="shared" si="19"/>
        <v>50–64</v>
      </c>
    </row>
    <row r="605" spans="1:13">
      <c r="A605" t="s">
        <v>1144</v>
      </c>
      <c r="B605" t="s">
        <v>1145</v>
      </c>
      <c r="C605">
        <v>41</v>
      </c>
      <c r="D605" t="s">
        <v>13</v>
      </c>
      <c r="E605" s="2">
        <v>45330</v>
      </c>
      <c r="F605" s="2">
        <v>45339</v>
      </c>
      <c r="G605" t="s">
        <v>71</v>
      </c>
      <c r="H605" t="s">
        <v>195</v>
      </c>
      <c r="I605" s="3">
        <v>11620.41</v>
      </c>
      <c r="J605" s="4">
        <v>100</v>
      </c>
      <c r="K605" t="s">
        <v>16</v>
      </c>
      <c r="L605">
        <f t="shared" si="18"/>
        <v>9</v>
      </c>
      <c r="M605" t="str">
        <f t="shared" si="19"/>
        <v>35–49</v>
      </c>
    </row>
    <row r="606" spans="1:13">
      <c r="A606" t="s">
        <v>1146</v>
      </c>
      <c r="B606" t="s">
        <v>844</v>
      </c>
      <c r="C606">
        <v>50</v>
      </c>
      <c r="D606" t="s">
        <v>19</v>
      </c>
      <c r="E606" s="2">
        <v>45860</v>
      </c>
      <c r="F606" s="2">
        <v>45863</v>
      </c>
      <c r="G606" t="s">
        <v>24</v>
      </c>
      <c r="H606" t="s">
        <v>29</v>
      </c>
      <c r="I606" s="3">
        <v>3974.41</v>
      </c>
      <c r="J606" s="4">
        <v>50</v>
      </c>
      <c r="K606" t="s">
        <v>16</v>
      </c>
      <c r="L606">
        <f t="shared" si="18"/>
        <v>3</v>
      </c>
      <c r="M606" t="str">
        <f t="shared" si="19"/>
        <v>50–64</v>
      </c>
    </row>
    <row r="607" spans="1:13">
      <c r="A607" t="s">
        <v>1147</v>
      </c>
      <c r="B607" t="s">
        <v>487</v>
      </c>
      <c r="C607">
        <v>72</v>
      </c>
      <c r="D607" t="s">
        <v>13</v>
      </c>
      <c r="E607" s="2">
        <v>45453</v>
      </c>
      <c r="F607" s="2">
        <v>45459</v>
      </c>
      <c r="G607" t="s">
        <v>71</v>
      </c>
      <c r="H607" t="s">
        <v>158</v>
      </c>
      <c r="I607" s="3">
        <v>14702.17</v>
      </c>
      <c r="J607" s="4">
        <v>80</v>
      </c>
      <c r="K607" t="s">
        <v>21</v>
      </c>
      <c r="L607">
        <f t="shared" si="18"/>
        <v>6</v>
      </c>
      <c r="M607" t="str">
        <f t="shared" si="19"/>
        <v>65+</v>
      </c>
    </row>
    <row r="608" spans="1:13">
      <c r="A608" t="s">
        <v>1148</v>
      </c>
      <c r="B608" t="s">
        <v>1149</v>
      </c>
      <c r="C608">
        <v>41</v>
      </c>
      <c r="D608" t="s">
        <v>13</v>
      </c>
      <c r="E608" s="2">
        <v>45795</v>
      </c>
      <c r="F608" s="2">
        <v>45802</v>
      </c>
      <c r="G608" t="s">
        <v>14</v>
      </c>
      <c r="H608" t="s">
        <v>166</v>
      </c>
      <c r="I608" s="3">
        <v>17086.830000000002</v>
      </c>
      <c r="J608" s="4">
        <v>90</v>
      </c>
      <c r="K608" t="s">
        <v>16</v>
      </c>
      <c r="L608">
        <f t="shared" si="18"/>
        <v>7</v>
      </c>
      <c r="M608" t="str">
        <f t="shared" si="19"/>
        <v>35–49</v>
      </c>
    </row>
    <row r="609" spans="1:13">
      <c r="A609" t="s">
        <v>1150</v>
      </c>
      <c r="B609" t="s">
        <v>821</v>
      </c>
      <c r="C609">
        <v>24</v>
      </c>
      <c r="D609" t="s">
        <v>13</v>
      </c>
      <c r="E609" s="2">
        <v>45304</v>
      </c>
      <c r="F609" s="2">
        <v>45305</v>
      </c>
      <c r="G609" t="s">
        <v>24</v>
      </c>
      <c r="H609" t="s">
        <v>83</v>
      </c>
      <c r="I609" s="3">
        <v>867.61</v>
      </c>
      <c r="J609" s="4">
        <v>100</v>
      </c>
      <c r="K609" t="s">
        <v>16</v>
      </c>
      <c r="L609">
        <f t="shared" si="18"/>
        <v>1</v>
      </c>
      <c r="M609" t="str">
        <f t="shared" si="19"/>
        <v>18–34</v>
      </c>
    </row>
    <row r="610" spans="1:13">
      <c r="A610" t="s">
        <v>1151</v>
      </c>
      <c r="B610" t="s">
        <v>1152</v>
      </c>
      <c r="C610">
        <v>51</v>
      </c>
      <c r="D610" t="s">
        <v>19</v>
      </c>
      <c r="E610" s="2">
        <v>45764</v>
      </c>
      <c r="F610" s="2">
        <v>45770</v>
      </c>
      <c r="G610" t="s">
        <v>32</v>
      </c>
      <c r="H610" t="s">
        <v>33</v>
      </c>
      <c r="I610" s="3">
        <v>4084.48</v>
      </c>
      <c r="J610" s="4">
        <v>80</v>
      </c>
      <c r="K610" t="s">
        <v>16</v>
      </c>
      <c r="L610">
        <f t="shared" si="18"/>
        <v>6</v>
      </c>
      <c r="M610" t="str">
        <f t="shared" si="19"/>
        <v>50–64</v>
      </c>
    </row>
    <row r="611" spans="1:13">
      <c r="A611" t="s">
        <v>1153</v>
      </c>
      <c r="B611" t="s">
        <v>1154</v>
      </c>
      <c r="C611">
        <v>84</v>
      </c>
      <c r="D611" t="s">
        <v>19</v>
      </c>
      <c r="E611" s="2">
        <v>45865</v>
      </c>
      <c r="F611" s="2">
        <v>45866</v>
      </c>
      <c r="G611" t="s">
        <v>32</v>
      </c>
      <c r="H611" t="s">
        <v>36</v>
      </c>
      <c r="I611" s="3">
        <v>1290.53</v>
      </c>
      <c r="J611" s="4">
        <v>90</v>
      </c>
      <c r="K611" t="s">
        <v>16</v>
      </c>
      <c r="L611">
        <f t="shared" si="18"/>
        <v>1</v>
      </c>
      <c r="M611" t="str">
        <f t="shared" si="19"/>
        <v>65+</v>
      </c>
    </row>
    <row r="612" spans="1:13">
      <c r="A612" t="s">
        <v>1155</v>
      </c>
      <c r="B612" t="s">
        <v>722</v>
      </c>
      <c r="C612">
        <v>3</v>
      </c>
      <c r="D612" t="s">
        <v>19</v>
      </c>
      <c r="E612" s="2">
        <v>45643</v>
      </c>
      <c r="F612" s="2">
        <v>45647</v>
      </c>
      <c r="G612" t="s">
        <v>50</v>
      </c>
      <c r="H612" t="s">
        <v>124</v>
      </c>
      <c r="I612" s="3">
        <v>3707.94</v>
      </c>
      <c r="J612" s="4">
        <v>90</v>
      </c>
      <c r="K612" t="s">
        <v>16</v>
      </c>
      <c r="L612">
        <f t="shared" si="18"/>
        <v>4</v>
      </c>
      <c r="M612" t="str">
        <f t="shared" si="19"/>
        <v>0–17</v>
      </c>
    </row>
    <row r="613" spans="1:13">
      <c r="A613" t="s">
        <v>1156</v>
      </c>
      <c r="B613" t="s">
        <v>1157</v>
      </c>
      <c r="C613">
        <v>57</v>
      </c>
      <c r="D613" t="s">
        <v>13</v>
      </c>
      <c r="E613" s="2">
        <v>45779</v>
      </c>
      <c r="F613" s="2">
        <v>45788</v>
      </c>
      <c r="G613" t="s">
        <v>71</v>
      </c>
      <c r="H613" t="s">
        <v>72</v>
      </c>
      <c r="I613" s="3">
        <v>15346.13</v>
      </c>
      <c r="J613" s="4">
        <v>80</v>
      </c>
      <c r="K613" t="s">
        <v>16</v>
      </c>
      <c r="L613">
        <f t="shared" si="18"/>
        <v>9</v>
      </c>
      <c r="M613" t="str">
        <f t="shared" si="19"/>
        <v>50–64</v>
      </c>
    </row>
    <row r="614" spans="1:13">
      <c r="A614" t="s">
        <v>1158</v>
      </c>
      <c r="B614" t="s">
        <v>1159</v>
      </c>
      <c r="C614">
        <v>45</v>
      </c>
      <c r="D614" t="s">
        <v>19</v>
      </c>
      <c r="E614" s="2">
        <v>45749</v>
      </c>
      <c r="F614" s="2">
        <v>45754</v>
      </c>
      <c r="G614" t="s">
        <v>32</v>
      </c>
      <c r="H614" t="s">
        <v>54</v>
      </c>
      <c r="I614" s="3">
        <v>4821.37</v>
      </c>
      <c r="J614" s="4">
        <v>80</v>
      </c>
      <c r="K614" t="s">
        <v>16</v>
      </c>
      <c r="L614">
        <f t="shared" si="18"/>
        <v>5</v>
      </c>
      <c r="M614" t="str">
        <f t="shared" si="19"/>
        <v>35–49</v>
      </c>
    </row>
    <row r="615" spans="1:13">
      <c r="A615" t="s">
        <v>1160</v>
      </c>
      <c r="B615" t="s">
        <v>1161</v>
      </c>
      <c r="C615">
        <v>69</v>
      </c>
      <c r="D615" t="s">
        <v>13</v>
      </c>
      <c r="E615" s="2">
        <v>45894</v>
      </c>
      <c r="F615" s="2">
        <v>45901</v>
      </c>
      <c r="G615" t="s">
        <v>14</v>
      </c>
      <c r="H615" t="s">
        <v>103</v>
      </c>
      <c r="I615" s="3">
        <v>15787.69</v>
      </c>
      <c r="J615" s="4">
        <v>100</v>
      </c>
      <c r="K615" t="s">
        <v>16</v>
      </c>
      <c r="L615">
        <f t="shared" si="18"/>
        <v>7</v>
      </c>
      <c r="M615" t="str">
        <f t="shared" si="19"/>
        <v>65+</v>
      </c>
    </row>
    <row r="616" spans="1:13">
      <c r="A616" t="s">
        <v>1162</v>
      </c>
      <c r="B616" t="s">
        <v>1096</v>
      </c>
      <c r="C616">
        <v>14</v>
      </c>
      <c r="D616" t="s">
        <v>19</v>
      </c>
      <c r="E616" s="2">
        <v>45923</v>
      </c>
      <c r="F616" s="2">
        <v>45926</v>
      </c>
      <c r="G616" t="s">
        <v>50</v>
      </c>
      <c r="H616" t="s">
        <v>121</v>
      </c>
      <c r="I616" s="3">
        <v>5118.0600000000004</v>
      </c>
      <c r="J616" s="4">
        <v>80</v>
      </c>
      <c r="K616" t="s">
        <v>16</v>
      </c>
      <c r="L616">
        <f t="shared" si="18"/>
        <v>3</v>
      </c>
      <c r="M616" t="str">
        <f t="shared" si="19"/>
        <v>0–17</v>
      </c>
    </row>
    <row r="617" spans="1:13">
      <c r="A617" t="s">
        <v>1163</v>
      </c>
      <c r="B617" t="s">
        <v>1164</v>
      </c>
      <c r="C617">
        <v>36</v>
      </c>
      <c r="D617" t="s">
        <v>19</v>
      </c>
      <c r="E617" s="2">
        <v>45643</v>
      </c>
      <c r="F617" s="2">
        <v>45644</v>
      </c>
      <c r="G617" t="s">
        <v>24</v>
      </c>
      <c r="H617" t="s">
        <v>42</v>
      </c>
      <c r="I617" s="3">
        <v>1184.98</v>
      </c>
      <c r="J617" s="4">
        <v>80</v>
      </c>
      <c r="K617" t="s">
        <v>16</v>
      </c>
      <c r="L617">
        <f t="shared" si="18"/>
        <v>1</v>
      </c>
      <c r="M617" t="str">
        <f t="shared" si="19"/>
        <v>35–49</v>
      </c>
    </row>
    <row r="618" spans="1:13">
      <c r="A618" t="s">
        <v>1165</v>
      </c>
      <c r="B618" t="s">
        <v>1166</v>
      </c>
      <c r="C618">
        <v>16</v>
      </c>
      <c r="D618" t="s">
        <v>19</v>
      </c>
      <c r="E618" s="2">
        <v>45317</v>
      </c>
      <c r="F618" s="2">
        <v>45320</v>
      </c>
      <c r="G618" t="s">
        <v>50</v>
      </c>
      <c r="H618" t="s">
        <v>379</v>
      </c>
      <c r="I618" s="3">
        <v>2558.2800000000002</v>
      </c>
      <c r="J618" s="4">
        <v>90</v>
      </c>
      <c r="K618" t="s">
        <v>16</v>
      </c>
      <c r="L618">
        <f t="shared" si="18"/>
        <v>3</v>
      </c>
      <c r="M618" t="str">
        <f t="shared" si="19"/>
        <v>0–17</v>
      </c>
    </row>
    <row r="619" spans="1:13">
      <c r="A619" t="s">
        <v>1167</v>
      </c>
      <c r="B619" t="s">
        <v>1168</v>
      </c>
      <c r="C619">
        <v>76</v>
      </c>
      <c r="D619" t="s">
        <v>13</v>
      </c>
      <c r="E619" s="2">
        <v>45670</v>
      </c>
      <c r="F619" s="2">
        <v>45673</v>
      </c>
      <c r="G619" t="s">
        <v>14</v>
      </c>
      <c r="H619" t="s">
        <v>112</v>
      </c>
      <c r="I619" s="3">
        <v>3998.34</v>
      </c>
      <c r="J619" s="4">
        <v>100</v>
      </c>
      <c r="K619" t="s">
        <v>16</v>
      </c>
      <c r="L619">
        <f t="shared" si="18"/>
        <v>3</v>
      </c>
      <c r="M619" t="str">
        <f t="shared" si="19"/>
        <v>65+</v>
      </c>
    </row>
    <row r="620" spans="1:13">
      <c r="A620" t="s">
        <v>1169</v>
      </c>
      <c r="B620" t="s">
        <v>230</v>
      </c>
      <c r="C620">
        <v>68</v>
      </c>
      <c r="D620" t="s">
        <v>19</v>
      </c>
      <c r="E620" s="2">
        <v>45626</v>
      </c>
      <c r="F620" s="2">
        <v>45629</v>
      </c>
      <c r="G620" t="s">
        <v>61</v>
      </c>
      <c r="H620" t="s">
        <v>75</v>
      </c>
      <c r="I620" s="3">
        <v>4286.6400000000003</v>
      </c>
      <c r="J620" s="4">
        <v>70</v>
      </c>
      <c r="K620" t="s">
        <v>21</v>
      </c>
      <c r="L620">
        <f t="shared" si="18"/>
        <v>3</v>
      </c>
      <c r="M620" t="str">
        <f t="shared" si="19"/>
        <v>65+</v>
      </c>
    </row>
    <row r="621" spans="1:13">
      <c r="A621" t="s">
        <v>1170</v>
      </c>
      <c r="B621" t="s">
        <v>896</v>
      </c>
      <c r="C621">
        <v>73</v>
      </c>
      <c r="D621" t="s">
        <v>19</v>
      </c>
      <c r="E621" s="2">
        <v>45956</v>
      </c>
      <c r="F621" s="2">
        <v>45965</v>
      </c>
      <c r="G621" t="s">
        <v>14</v>
      </c>
      <c r="H621" t="s">
        <v>39</v>
      </c>
      <c r="I621" s="3">
        <v>21392.04</v>
      </c>
      <c r="J621" s="4">
        <v>80</v>
      </c>
      <c r="K621" t="s">
        <v>16</v>
      </c>
      <c r="L621">
        <f t="shared" si="18"/>
        <v>9</v>
      </c>
      <c r="M621" t="str">
        <f t="shared" si="19"/>
        <v>65+</v>
      </c>
    </row>
    <row r="622" spans="1:13">
      <c r="A622" t="s">
        <v>1171</v>
      </c>
      <c r="B622" t="s">
        <v>1172</v>
      </c>
      <c r="C622">
        <v>37</v>
      </c>
      <c r="D622" t="s">
        <v>13</v>
      </c>
      <c r="E622" s="2">
        <v>45983</v>
      </c>
      <c r="F622" s="2">
        <v>45985</v>
      </c>
      <c r="G622" t="s">
        <v>24</v>
      </c>
      <c r="H622" t="s">
        <v>42</v>
      </c>
      <c r="I622" s="3">
        <v>3201.39</v>
      </c>
      <c r="J622" s="4">
        <v>80</v>
      </c>
      <c r="K622" t="s">
        <v>16</v>
      </c>
      <c r="L622">
        <f t="shared" si="18"/>
        <v>2</v>
      </c>
      <c r="M622" t="str">
        <f t="shared" si="19"/>
        <v>35–49</v>
      </c>
    </row>
    <row r="623" spans="1:13">
      <c r="A623" t="s">
        <v>1173</v>
      </c>
      <c r="B623" t="s">
        <v>800</v>
      </c>
      <c r="C623">
        <v>11</v>
      </c>
      <c r="D623" t="s">
        <v>13</v>
      </c>
      <c r="E623" s="2">
        <v>45501</v>
      </c>
      <c r="F623" s="2">
        <v>45503</v>
      </c>
      <c r="G623" t="s">
        <v>50</v>
      </c>
      <c r="H623" t="s">
        <v>121</v>
      </c>
      <c r="I623" s="3">
        <v>3300.07</v>
      </c>
      <c r="J623" s="4">
        <v>100</v>
      </c>
      <c r="K623" t="s">
        <v>16</v>
      </c>
      <c r="L623">
        <f t="shared" si="18"/>
        <v>2</v>
      </c>
      <c r="M623" t="str">
        <f t="shared" si="19"/>
        <v>0–17</v>
      </c>
    </row>
    <row r="624" spans="1:13">
      <c r="A624" t="s">
        <v>1174</v>
      </c>
      <c r="B624" t="s">
        <v>1175</v>
      </c>
      <c r="C624">
        <v>7</v>
      </c>
      <c r="D624" t="s">
        <v>13</v>
      </c>
      <c r="E624" s="2">
        <v>45812</v>
      </c>
      <c r="F624" s="2">
        <v>45813</v>
      </c>
      <c r="G624" t="s">
        <v>50</v>
      </c>
      <c r="H624" t="s">
        <v>124</v>
      </c>
      <c r="I624" s="3">
        <v>784.49</v>
      </c>
      <c r="J624" s="4">
        <v>90</v>
      </c>
      <c r="K624" t="s">
        <v>16</v>
      </c>
      <c r="L624">
        <f t="shared" si="18"/>
        <v>1</v>
      </c>
      <c r="M624" t="str">
        <f t="shared" si="19"/>
        <v>0–17</v>
      </c>
    </row>
    <row r="625" spans="1:13">
      <c r="A625" t="s">
        <v>1176</v>
      </c>
      <c r="B625" t="s">
        <v>1177</v>
      </c>
      <c r="C625">
        <v>26</v>
      </c>
      <c r="D625" t="s">
        <v>13</v>
      </c>
      <c r="E625" s="2">
        <v>45695</v>
      </c>
      <c r="F625" s="2">
        <v>45696</v>
      </c>
      <c r="G625" t="s">
        <v>32</v>
      </c>
      <c r="H625" t="s">
        <v>45</v>
      </c>
      <c r="I625" s="3">
        <v>1170.5999999999999</v>
      </c>
      <c r="J625" s="4">
        <v>80</v>
      </c>
      <c r="K625" t="s">
        <v>16</v>
      </c>
      <c r="L625">
        <f t="shared" si="18"/>
        <v>1</v>
      </c>
      <c r="M625" t="str">
        <f t="shared" si="19"/>
        <v>18–34</v>
      </c>
    </row>
    <row r="626" spans="1:13">
      <c r="A626" t="s">
        <v>1178</v>
      </c>
      <c r="B626" t="s">
        <v>370</v>
      </c>
      <c r="C626">
        <v>61</v>
      </c>
      <c r="D626" t="s">
        <v>13</v>
      </c>
      <c r="E626" s="2">
        <v>45600</v>
      </c>
      <c r="F626" s="2">
        <v>45604</v>
      </c>
      <c r="G626" t="s">
        <v>14</v>
      </c>
      <c r="H626" t="s">
        <v>15</v>
      </c>
      <c r="I626" s="3">
        <v>11503.8</v>
      </c>
      <c r="J626" s="4">
        <v>60</v>
      </c>
      <c r="K626" t="s">
        <v>26</v>
      </c>
      <c r="L626">
        <f t="shared" si="18"/>
        <v>4</v>
      </c>
      <c r="M626" t="str">
        <f t="shared" si="19"/>
        <v>50–64</v>
      </c>
    </row>
    <row r="627" spans="1:13">
      <c r="A627" t="s">
        <v>1179</v>
      </c>
      <c r="B627" t="s">
        <v>405</v>
      </c>
      <c r="C627">
        <v>8</v>
      </c>
      <c r="D627" t="s">
        <v>19</v>
      </c>
      <c r="E627" s="2">
        <v>45836</v>
      </c>
      <c r="F627" s="2">
        <v>45838</v>
      </c>
      <c r="G627" t="s">
        <v>50</v>
      </c>
      <c r="H627" t="s">
        <v>131</v>
      </c>
      <c r="I627" s="3">
        <v>1522.86</v>
      </c>
      <c r="J627" s="4">
        <v>90</v>
      </c>
      <c r="K627" t="s">
        <v>21</v>
      </c>
      <c r="L627">
        <f t="shared" si="18"/>
        <v>2</v>
      </c>
      <c r="M627" t="str">
        <f t="shared" si="19"/>
        <v>0–17</v>
      </c>
    </row>
    <row r="628" spans="1:13">
      <c r="A628" t="s">
        <v>1180</v>
      </c>
      <c r="B628" t="s">
        <v>271</v>
      </c>
      <c r="C628">
        <v>78</v>
      </c>
      <c r="D628" t="s">
        <v>19</v>
      </c>
      <c r="E628" s="2">
        <v>45705</v>
      </c>
      <c r="F628" s="2">
        <v>45715</v>
      </c>
      <c r="G628" t="s">
        <v>71</v>
      </c>
      <c r="H628" t="s">
        <v>95</v>
      </c>
      <c r="I628" s="3">
        <v>22757.119999999999</v>
      </c>
      <c r="J628" s="4">
        <v>90</v>
      </c>
      <c r="K628" t="s">
        <v>16</v>
      </c>
      <c r="L628">
        <f t="shared" si="18"/>
        <v>10</v>
      </c>
      <c r="M628" t="str">
        <f t="shared" si="19"/>
        <v>65+</v>
      </c>
    </row>
    <row r="629" spans="1:13">
      <c r="A629" t="s">
        <v>1181</v>
      </c>
      <c r="B629" t="s">
        <v>976</v>
      </c>
      <c r="C629">
        <v>11</v>
      </c>
      <c r="D629" t="s">
        <v>13</v>
      </c>
      <c r="E629" s="2">
        <v>45536</v>
      </c>
      <c r="F629" s="2">
        <v>45541</v>
      </c>
      <c r="G629" t="s">
        <v>50</v>
      </c>
      <c r="H629" t="s">
        <v>124</v>
      </c>
      <c r="I629" s="3">
        <v>3197.15</v>
      </c>
      <c r="J629" s="4">
        <v>70</v>
      </c>
      <c r="K629" t="s">
        <v>26</v>
      </c>
      <c r="L629">
        <f t="shared" si="18"/>
        <v>5</v>
      </c>
      <c r="M629" t="str">
        <f t="shared" si="19"/>
        <v>0–17</v>
      </c>
    </row>
    <row r="630" spans="1:13">
      <c r="A630" t="s">
        <v>1182</v>
      </c>
      <c r="B630" t="s">
        <v>1183</v>
      </c>
      <c r="C630">
        <v>73</v>
      </c>
      <c r="D630" t="s">
        <v>19</v>
      </c>
      <c r="E630" s="2">
        <v>45441</v>
      </c>
      <c r="F630" s="2">
        <v>45443</v>
      </c>
      <c r="G630" t="s">
        <v>32</v>
      </c>
      <c r="H630" t="s">
        <v>33</v>
      </c>
      <c r="I630" s="3">
        <v>2710.85</v>
      </c>
      <c r="J630" s="4">
        <v>60</v>
      </c>
      <c r="K630" t="s">
        <v>21</v>
      </c>
      <c r="L630">
        <f t="shared" si="18"/>
        <v>2</v>
      </c>
      <c r="M630" t="str">
        <f t="shared" si="19"/>
        <v>65+</v>
      </c>
    </row>
    <row r="631" spans="1:13">
      <c r="A631" t="s">
        <v>1184</v>
      </c>
      <c r="B631" t="s">
        <v>1185</v>
      </c>
      <c r="C631">
        <v>84</v>
      </c>
      <c r="D631" t="s">
        <v>19</v>
      </c>
      <c r="E631" s="2">
        <v>45918</v>
      </c>
      <c r="F631" s="2">
        <v>45920</v>
      </c>
      <c r="G631" t="s">
        <v>24</v>
      </c>
      <c r="H631" t="s">
        <v>205</v>
      </c>
      <c r="I631" s="3">
        <v>4532.09</v>
      </c>
      <c r="J631" s="4">
        <v>90</v>
      </c>
      <c r="K631" t="s">
        <v>21</v>
      </c>
      <c r="L631">
        <f t="shared" si="18"/>
        <v>2</v>
      </c>
      <c r="M631" t="str">
        <f t="shared" si="19"/>
        <v>65+</v>
      </c>
    </row>
    <row r="632" spans="1:13">
      <c r="A632" t="s">
        <v>1186</v>
      </c>
      <c r="B632" t="s">
        <v>1187</v>
      </c>
      <c r="C632">
        <v>43</v>
      </c>
      <c r="D632" t="s">
        <v>13</v>
      </c>
      <c r="E632" s="2">
        <v>45857</v>
      </c>
      <c r="F632" s="2">
        <v>45860</v>
      </c>
      <c r="G632" t="s">
        <v>61</v>
      </c>
      <c r="H632" t="s">
        <v>62</v>
      </c>
      <c r="I632" s="3">
        <v>4972.62</v>
      </c>
      <c r="J632" s="4">
        <v>80</v>
      </c>
      <c r="K632" t="s">
        <v>16</v>
      </c>
      <c r="L632">
        <f t="shared" si="18"/>
        <v>3</v>
      </c>
      <c r="M632" t="str">
        <f t="shared" si="19"/>
        <v>35–49</v>
      </c>
    </row>
    <row r="633" spans="1:13">
      <c r="A633" t="s">
        <v>1188</v>
      </c>
      <c r="B633" t="s">
        <v>875</v>
      </c>
      <c r="C633">
        <v>1</v>
      </c>
      <c r="D633" t="s">
        <v>13</v>
      </c>
      <c r="E633" s="2">
        <v>45609</v>
      </c>
      <c r="F633" s="2">
        <v>45611</v>
      </c>
      <c r="G633" t="s">
        <v>50</v>
      </c>
      <c r="H633" t="s">
        <v>379</v>
      </c>
      <c r="I633" s="3">
        <v>3235.05</v>
      </c>
      <c r="J633" s="4">
        <v>70</v>
      </c>
      <c r="K633" t="s">
        <v>16</v>
      </c>
      <c r="L633">
        <f t="shared" si="18"/>
        <v>2</v>
      </c>
      <c r="M633" t="str">
        <f t="shared" si="19"/>
        <v>0–17</v>
      </c>
    </row>
    <row r="634" spans="1:13">
      <c r="A634" t="s">
        <v>1189</v>
      </c>
      <c r="B634" t="s">
        <v>1190</v>
      </c>
      <c r="C634">
        <v>49</v>
      </c>
      <c r="D634" t="s">
        <v>19</v>
      </c>
      <c r="E634" s="2">
        <v>45937</v>
      </c>
      <c r="F634" s="2">
        <v>45939</v>
      </c>
      <c r="G634" t="s">
        <v>32</v>
      </c>
      <c r="H634" t="s">
        <v>115</v>
      </c>
      <c r="I634" s="3">
        <v>2401.17</v>
      </c>
      <c r="J634" s="4">
        <v>90</v>
      </c>
      <c r="K634" t="s">
        <v>21</v>
      </c>
      <c r="L634">
        <f t="shared" si="18"/>
        <v>2</v>
      </c>
      <c r="M634" t="str">
        <f t="shared" si="19"/>
        <v>35–49</v>
      </c>
    </row>
    <row r="635" spans="1:13">
      <c r="A635" t="s">
        <v>1191</v>
      </c>
      <c r="B635" t="s">
        <v>1192</v>
      </c>
      <c r="C635">
        <v>51</v>
      </c>
      <c r="D635" t="s">
        <v>19</v>
      </c>
      <c r="E635" s="2">
        <v>45419</v>
      </c>
      <c r="F635" s="2">
        <v>45431</v>
      </c>
      <c r="G635" t="s">
        <v>61</v>
      </c>
      <c r="H635" t="s">
        <v>143</v>
      </c>
      <c r="I635" s="3">
        <v>33210.050000000003</v>
      </c>
      <c r="J635" s="4">
        <v>80</v>
      </c>
      <c r="K635" t="s">
        <v>21</v>
      </c>
      <c r="L635">
        <f t="shared" si="18"/>
        <v>12</v>
      </c>
      <c r="M635" t="str">
        <f t="shared" si="19"/>
        <v>50–64</v>
      </c>
    </row>
    <row r="636" spans="1:13">
      <c r="A636" t="s">
        <v>1193</v>
      </c>
      <c r="B636" t="s">
        <v>894</v>
      </c>
      <c r="C636">
        <v>73</v>
      </c>
      <c r="D636" t="s">
        <v>19</v>
      </c>
      <c r="E636" s="2">
        <v>45643</v>
      </c>
      <c r="F636" s="2">
        <v>45653</v>
      </c>
      <c r="G636" t="s">
        <v>61</v>
      </c>
      <c r="H636" t="s">
        <v>75</v>
      </c>
      <c r="I636" s="3">
        <v>23689.65</v>
      </c>
      <c r="J636" s="4">
        <v>90</v>
      </c>
      <c r="K636" t="s">
        <v>16</v>
      </c>
      <c r="L636">
        <f t="shared" si="18"/>
        <v>10</v>
      </c>
      <c r="M636" t="str">
        <f t="shared" si="19"/>
        <v>65+</v>
      </c>
    </row>
    <row r="637" spans="1:13">
      <c r="A637" t="s">
        <v>1194</v>
      </c>
      <c r="B637" t="s">
        <v>1195</v>
      </c>
      <c r="C637">
        <v>26</v>
      </c>
      <c r="D637" t="s">
        <v>13</v>
      </c>
      <c r="E637" s="2">
        <v>45960</v>
      </c>
      <c r="F637" s="2">
        <v>45963</v>
      </c>
      <c r="G637" t="s">
        <v>32</v>
      </c>
      <c r="H637" t="s">
        <v>33</v>
      </c>
      <c r="I637" s="3">
        <v>2927.98</v>
      </c>
      <c r="J637" s="4">
        <v>100</v>
      </c>
      <c r="K637" t="s">
        <v>16</v>
      </c>
      <c r="L637">
        <f t="shared" si="18"/>
        <v>3</v>
      </c>
      <c r="M637" t="str">
        <f t="shared" si="19"/>
        <v>18–34</v>
      </c>
    </row>
    <row r="638" spans="1:13">
      <c r="A638" t="s">
        <v>1196</v>
      </c>
      <c r="B638" t="s">
        <v>1197</v>
      </c>
      <c r="C638">
        <v>58</v>
      </c>
      <c r="D638" t="s">
        <v>19</v>
      </c>
      <c r="E638" s="2">
        <v>45760</v>
      </c>
      <c r="F638" s="2">
        <v>45769</v>
      </c>
      <c r="G638" t="s">
        <v>14</v>
      </c>
      <c r="H638" t="s">
        <v>103</v>
      </c>
      <c r="I638" s="3">
        <v>10908.77</v>
      </c>
      <c r="J638" s="4">
        <v>90</v>
      </c>
      <c r="K638" t="s">
        <v>21</v>
      </c>
      <c r="L638">
        <f t="shared" si="18"/>
        <v>9</v>
      </c>
      <c r="M638" t="str">
        <f t="shared" si="19"/>
        <v>50–64</v>
      </c>
    </row>
    <row r="639" spans="1:13">
      <c r="A639" t="s">
        <v>1198</v>
      </c>
      <c r="B639" t="s">
        <v>1199</v>
      </c>
      <c r="C639">
        <v>65</v>
      </c>
      <c r="D639" t="s">
        <v>13</v>
      </c>
      <c r="E639" s="2">
        <v>45478</v>
      </c>
      <c r="F639" s="2">
        <v>45483</v>
      </c>
      <c r="G639" t="s">
        <v>14</v>
      </c>
      <c r="H639" t="s">
        <v>20</v>
      </c>
      <c r="I639" s="3">
        <v>9405.2000000000007</v>
      </c>
      <c r="J639" s="4">
        <v>70</v>
      </c>
      <c r="K639" t="s">
        <v>21</v>
      </c>
      <c r="L639">
        <f t="shared" si="18"/>
        <v>5</v>
      </c>
      <c r="M639" t="str">
        <f t="shared" si="19"/>
        <v>65+</v>
      </c>
    </row>
    <row r="640" spans="1:13">
      <c r="A640" t="s">
        <v>1200</v>
      </c>
      <c r="B640" t="s">
        <v>784</v>
      </c>
      <c r="C640">
        <v>37</v>
      </c>
      <c r="D640" t="s">
        <v>19</v>
      </c>
      <c r="E640" s="2">
        <v>45888</v>
      </c>
      <c r="F640" s="2">
        <v>45896</v>
      </c>
      <c r="G640" t="s">
        <v>71</v>
      </c>
      <c r="H640" t="s">
        <v>72</v>
      </c>
      <c r="I640" s="3">
        <v>11960.8</v>
      </c>
      <c r="J640" s="4">
        <v>80</v>
      </c>
      <c r="K640" t="s">
        <v>16</v>
      </c>
      <c r="L640">
        <f t="shared" si="18"/>
        <v>8</v>
      </c>
      <c r="M640" t="str">
        <f t="shared" si="19"/>
        <v>35–49</v>
      </c>
    </row>
    <row r="641" spans="1:13">
      <c r="A641" t="s">
        <v>1201</v>
      </c>
      <c r="B641" t="s">
        <v>1202</v>
      </c>
      <c r="C641">
        <v>68</v>
      </c>
      <c r="D641" t="s">
        <v>13</v>
      </c>
      <c r="E641" s="2">
        <v>45537</v>
      </c>
      <c r="F641" s="2">
        <v>45538</v>
      </c>
      <c r="G641" t="s">
        <v>32</v>
      </c>
      <c r="H641" t="s">
        <v>45</v>
      </c>
      <c r="I641" s="3">
        <v>1174.7</v>
      </c>
      <c r="J641" s="4">
        <v>90</v>
      </c>
      <c r="K641" t="s">
        <v>21</v>
      </c>
      <c r="L641">
        <f t="shared" si="18"/>
        <v>1</v>
      </c>
      <c r="M641" t="str">
        <f t="shared" si="19"/>
        <v>65+</v>
      </c>
    </row>
    <row r="642" spans="1:13">
      <c r="A642" t="s">
        <v>1203</v>
      </c>
      <c r="B642" t="s">
        <v>1204</v>
      </c>
      <c r="C642">
        <v>41</v>
      </c>
      <c r="D642" t="s">
        <v>13</v>
      </c>
      <c r="E642" s="2">
        <v>45314</v>
      </c>
      <c r="F642" s="2">
        <v>45321</v>
      </c>
      <c r="G642" t="s">
        <v>32</v>
      </c>
      <c r="H642" t="s">
        <v>235</v>
      </c>
      <c r="I642" s="3">
        <v>6487.34</v>
      </c>
      <c r="J642" s="4">
        <v>80</v>
      </c>
      <c r="K642" t="s">
        <v>16</v>
      </c>
      <c r="L642">
        <f t="shared" si="18"/>
        <v>7</v>
      </c>
      <c r="M642" t="str">
        <f t="shared" si="19"/>
        <v>35–49</v>
      </c>
    </row>
    <row r="643" spans="1:13">
      <c r="A643" t="s">
        <v>1205</v>
      </c>
      <c r="B643" t="s">
        <v>1102</v>
      </c>
      <c r="C643">
        <v>40</v>
      </c>
      <c r="D643" t="s">
        <v>13</v>
      </c>
      <c r="E643" s="2">
        <v>45752</v>
      </c>
      <c r="F643" s="2">
        <v>45754</v>
      </c>
      <c r="G643" t="s">
        <v>24</v>
      </c>
      <c r="H643" t="s">
        <v>334</v>
      </c>
      <c r="I643" s="3">
        <v>3282.55</v>
      </c>
      <c r="J643" s="4">
        <v>70</v>
      </c>
      <c r="K643" t="s">
        <v>21</v>
      </c>
      <c r="L643">
        <f t="shared" ref="L643:L706" si="20">F643-E643</f>
        <v>2</v>
      </c>
      <c r="M643" t="str">
        <f t="shared" ref="M643:M706" si="21">IF(C643&lt;=17,"0–17",IF(C643&lt;=34,"18–34",IF(C643&lt;=49,"35–49",IF(C643&lt;=64,"50–64","65+"))))</f>
        <v>35–49</v>
      </c>
    </row>
    <row r="644" spans="1:13">
      <c r="A644" t="s">
        <v>1206</v>
      </c>
      <c r="B644" t="s">
        <v>1207</v>
      </c>
      <c r="C644">
        <v>55</v>
      </c>
      <c r="D644" t="s">
        <v>19</v>
      </c>
      <c r="E644" s="2">
        <v>45716</v>
      </c>
      <c r="F644" s="2">
        <v>45722</v>
      </c>
      <c r="G644" t="s">
        <v>61</v>
      </c>
      <c r="H644" t="s">
        <v>78</v>
      </c>
      <c r="I644" s="3">
        <v>13468.92</v>
      </c>
      <c r="J644" s="4">
        <v>80</v>
      </c>
      <c r="K644" t="s">
        <v>16</v>
      </c>
      <c r="L644">
        <f t="shared" si="20"/>
        <v>6</v>
      </c>
      <c r="M644" t="str">
        <f t="shared" si="21"/>
        <v>50–64</v>
      </c>
    </row>
    <row r="645" spans="1:13">
      <c r="A645" t="s">
        <v>1208</v>
      </c>
      <c r="B645" t="s">
        <v>1209</v>
      </c>
      <c r="C645">
        <v>76</v>
      </c>
      <c r="D645" t="s">
        <v>13</v>
      </c>
      <c r="E645" s="2">
        <v>45868</v>
      </c>
      <c r="F645" s="2">
        <v>45873</v>
      </c>
      <c r="G645" t="s">
        <v>14</v>
      </c>
      <c r="H645" t="s">
        <v>15</v>
      </c>
      <c r="I645" s="3">
        <v>7431.19</v>
      </c>
      <c r="J645" s="4">
        <v>80</v>
      </c>
      <c r="K645" t="s">
        <v>21</v>
      </c>
      <c r="L645">
        <f t="shared" si="20"/>
        <v>5</v>
      </c>
      <c r="M645" t="str">
        <f t="shared" si="21"/>
        <v>65+</v>
      </c>
    </row>
    <row r="646" spans="1:13">
      <c r="A646" t="s">
        <v>1210</v>
      </c>
      <c r="B646" t="s">
        <v>1211</v>
      </c>
      <c r="C646">
        <v>77</v>
      </c>
      <c r="D646" t="s">
        <v>19</v>
      </c>
      <c r="E646" s="2">
        <v>45612</v>
      </c>
      <c r="F646" s="2">
        <v>45616</v>
      </c>
      <c r="G646" t="s">
        <v>71</v>
      </c>
      <c r="H646" t="s">
        <v>95</v>
      </c>
      <c r="I646" s="3">
        <v>4416.84</v>
      </c>
      <c r="J646" s="4">
        <v>80</v>
      </c>
      <c r="K646" t="s">
        <v>26</v>
      </c>
      <c r="L646">
        <f t="shared" si="20"/>
        <v>4</v>
      </c>
      <c r="M646" t="str">
        <f t="shared" si="21"/>
        <v>65+</v>
      </c>
    </row>
    <row r="647" spans="1:13">
      <c r="A647" t="s">
        <v>1212</v>
      </c>
      <c r="B647" t="s">
        <v>1213</v>
      </c>
      <c r="C647">
        <v>77</v>
      </c>
      <c r="D647" t="s">
        <v>13</v>
      </c>
      <c r="E647" s="2">
        <v>45967</v>
      </c>
      <c r="F647" s="2">
        <v>45968</v>
      </c>
      <c r="G647" t="s">
        <v>24</v>
      </c>
      <c r="H647" t="s">
        <v>25</v>
      </c>
      <c r="I647" s="3">
        <v>1265.79</v>
      </c>
      <c r="J647" s="4">
        <v>80</v>
      </c>
      <c r="K647" t="s">
        <v>21</v>
      </c>
      <c r="L647">
        <f t="shared" si="20"/>
        <v>1</v>
      </c>
      <c r="M647" t="str">
        <f t="shared" si="21"/>
        <v>65+</v>
      </c>
    </row>
    <row r="648" spans="1:13">
      <c r="A648" t="s">
        <v>1214</v>
      </c>
      <c r="B648" t="s">
        <v>871</v>
      </c>
      <c r="C648">
        <v>47</v>
      </c>
      <c r="D648" t="s">
        <v>19</v>
      </c>
      <c r="E648" s="2">
        <v>45509</v>
      </c>
      <c r="F648" s="2">
        <v>45514</v>
      </c>
      <c r="G648" t="s">
        <v>32</v>
      </c>
      <c r="H648" t="s">
        <v>115</v>
      </c>
      <c r="I648" s="3">
        <v>7496.19</v>
      </c>
      <c r="J648" s="4">
        <v>80</v>
      </c>
      <c r="K648" t="s">
        <v>16</v>
      </c>
      <c r="L648">
        <f t="shared" si="20"/>
        <v>5</v>
      </c>
      <c r="M648" t="str">
        <f t="shared" si="21"/>
        <v>35–49</v>
      </c>
    </row>
    <row r="649" spans="1:13">
      <c r="A649" t="s">
        <v>1215</v>
      </c>
      <c r="B649" t="s">
        <v>114</v>
      </c>
      <c r="C649">
        <v>46</v>
      </c>
      <c r="D649" t="s">
        <v>19</v>
      </c>
      <c r="E649" s="2">
        <v>45381</v>
      </c>
      <c r="F649" s="2">
        <v>45385</v>
      </c>
      <c r="G649" t="s">
        <v>32</v>
      </c>
      <c r="H649" t="s">
        <v>36</v>
      </c>
      <c r="I649" s="3">
        <v>5991.42</v>
      </c>
      <c r="J649" s="4">
        <v>100</v>
      </c>
      <c r="K649" t="s">
        <v>26</v>
      </c>
      <c r="L649">
        <f t="shared" si="20"/>
        <v>4</v>
      </c>
      <c r="M649" t="str">
        <f t="shared" si="21"/>
        <v>35–49</v>
      </c>
    </row>
    <row r="650" spans="1:13">
      <c r="A650" t="s">
        <v>1216</v>
      </c>
      <c r="B650" t="s">
        <v>1217</v>
      </c>
      <c r="C650">
        <v>62</v>
      </c>
      <c r="D650" t="s">
        <v>13</v>
      </c>
      <c r="E650" s="2">
        <v>45428</v>
      </c>
      <c r="F650" s="2">
        <v>45438</v>
      </c>
      <c r="G650" t="s">
        <v>14</v>
      </c>
      <c r="H650" t="s">
        <v>15</v>
      </c>
      <c r="I650" s="3">
        <v>12878.2</v>
      </c>
      <c r="J650" s="4">
        <v>80</v>
      </c>
      <c r="K650" t="s">
        <v>16</v>
      </c>
      <c r="L650">
        <f t="shared" si="20"/>
        <v>10</v>
      </c>
      <c r="M650" t="str">
        <f t="shared" si="21"/>
        <v>50–64</v>
      </c>
    </row>
    <row r="651" spans="1:13">
      <c r="A651" t="s">
        <v>1218</v>
      </c>
      <c r="B651" t="s">
        <v>1219</v>
      </c>
      <c r="C651">
        <v>5</v>
      </c>
      <c r="D651" t="s">
        <v>13</v>
      </c>
      <c r="E651" s="2">
        <v>46008</v>
      </c>
      <c r="F651" s="2">
        <v>46012</v>
      </c>
      <c r="G651" t="s">
        <v>50</v>
      </c>
      <c r="H651" t="s">
        <v>131</v>
      </c>
      <c r="I651" s="3">
        <v>4752.84</v>
      </c>
      <c r="J651" s="4">
        <v>80</v>
      </c>
      <c r="K651" t="s">
        <v>16</v>
      </c>
      <c r="L651">
        <f t="shared" si="20"/>
        <v>4</v>
      </c>
      <c r="M651" t="str">
        <f t="shared" si="21"/>
        <v>0–17</v>
      </c>
    </row>
    <row r="652" spans="1:13">
      <c r="A652" t="s">
        <v>1220</v>
      </c>
      <c r="B652" t="s">
        <v>1221</v>
      </c>
      <c r="C652">
        <v>34</v>
      </c>
      <c r="D652" t="s">
        <v>13</v>
      </c>
      <c r="E652" s="2">
        <v>45435</v>
      </c>
      <c r="F652" s="2">
        <v>45436</v>
      </c>
      <c r="G652" t="s">
        <v>32</v>
      </c>
      <c r="H652" t="s">
        <v>54</v>
      </c>
      <c r="I652" s="3">
        <v>1394.75</v>
      </c>
      <c r="J652" s="4">
        <v>0</v>
      </c>
      <c r="K652" t="s">
        <v>21</v>
      </c>
      <c r="L652">
        <f t="shared" si="20"/>
        <v>1</v>
      </c>
      <c r="M652" t="str">
        <f t="shared" si="21"/>
        <v>18–34</v>
      </c>
    </row>
    <row r="653" spans="1:13">
      <c r="A653" t="s">
        <v>1222</v>
      </c>
      <c r="B653" t="s">
        <v>1223</v>
      </c>
      <c r="C653">
        <v>59</v>
      </c>
      <c r="D653" t="s">
        <v>13</v>
      </c>
      <c r="E653" s="2">
        <v>45525</v>
      </c>
      <c r="F653" s="2">
        <v>45527</v>
      </c>
      <c r="G653" t="s">
        <v>24</v>
      </c>
      <c r="H653" t="s">
        <v>29</v>
      </c>
      <c r="I653" s="3">
        <v>3366.33</v>
      </c>
      <c r="J653" s="4">
        <v>70</v>
      </c>
      <c r="K653" t="s">
        <v>21</v>
      </c>
      <c r="L653">
        <f t="shared" si="20"/>
        <v>2</v>
      </c>
      <c r="M653" t="str">
        <f t="shared" si="21"/>
        <v>50–64</v>
      </c>
    </row>
    <row r="654" spans="1:13">
      <c r="A654" t="s">
        <v>1224</v>
      </c>
      <c r="B654" t="s">
        <v>237</v>
      </c>
      <c r="C654">
        <v>65</v>
      </c>
      <c r="D654" t="s">
        <v>19</v>
      </c>
      <c r="E654" s="2">
        <v>45589</v>
      </c>
      <c r="F654" s="2">
        <v>45595</v>
      </c>
      <c r="G654" t="s">
        <v>14</v>
      </c>
      <c r="H654" t="s">
        <v>20</v>
      </c>
      <c r="I654" s="3">
        <v>9890.23</v>
      </c>
      <c r="J654" s="4">
        <v>80</v>
      </c>
      <c r="K654" t="s">
        <v>16</v>
      </c>
      <c r="L654">
        <f t="shared" si="20"/>
        <v>6</v>
      </c>
      <c r="M654" t="str">
        <f t="shared" si="21"/>
        <v>65+</v>
      </c>
    </row>
    <row r="655" spans="1:13">
      <c r="A655" t="s">
        <v>1225</v>
      </c>
      <c r="B655" t="s">
        <v>142</v>
      </c>
      <c r="C655">
        <v>44</v>
      </c>
      <c r="D655" t="s">
        <v>13</v>
      </c>
      <c r="E655" s="2">
        <v>45379</v>
      </c>
      <c r="F655" s="2">
        <v>45383</v>
      </c>
      <c r="G655" t="s">
        <v>14</v>
      </c>
      <c r="H655" t="s">
        <v>15</v>
      </c>
      <c r="I655" s="3">
        <v>10351.120000000001</v>
      </c>
      <c r="J655" s="4">
        <v>80</v>
      </c>
      <c r="K655" t="s">
        <v>21</v>
      </c>
      <c r="L655">
        <f t="shared" si="20"/>
        <v>4</v>
      </c>
      <c r="M655" t="str">
        <f t="shared" si="21"/>
        <v>35–49</v>
      </c>
    </row>
    <row r="656" spans="1:13">
      <c r="A656" t="s">
        <v>1226</v>
      </c>
      <c r="B656" t="s">
        <v>1219</v>
      </c>
      <c r="C656">
        <v>17</v>
      </c>
      <c r="D656" t="s">
        <v>13</v>
      </c>
      <c r="E656" s="2">
        <v>45955</v>
      </c>
      <c r="F656" s="2">
        <v>45956</v>
      </c>
      <c r="G656" t="s">
        <v>50</v>
      </c>
      <c r="H656" t="s">
        <v>51</v>
      </c>
      <c r="I656" s="3">
        <v>836.96</v>
      </c>
      <c r="J656" s="4">
        <v>70</v>
      </c>
      <c r="K656" t="s">
        <v>16</v>
      </c>
      <c r="L656">
        <f t="shared" si="20"/>
        <v>1</v>
      </c>
      <c r="M656" t="str">
        <f t="shared" si="21"/>
        <v>0–17</v>
      </c>
    </row>
    <row r="657" spans="1:13">
      <c r="A657" t="s">
        <v>1227</v>
      </c>
      <c r="B657" t="s">
        <v>1228</v>
      </c>
      <c r="C657">
        <v>16</v>
      </c>
      <c r="D657" t="s">
        <v>19</v>
      </c>
      <c r="E657" s="2">
        <v>45496</v>
      </c>
      <c r="F657" s="2">
        <v>45501</v>
      </c>
      <c r="G657" t="s">
        <v>50</v>
      </c>
      <c r="H657" t="s">
        <v>118</v>
      </c>
      <c r="I657" s="3">
        <v>6886.9</v>
      </c>
      <c r="J657" s="4">
        <v>50</v>
      </c>
      <c r="K657" t="s">
        <v>21</v>
      </c>
      <c r="L657">
        <f t="shared" si="20"/>
        <v>5</v>
      </c>
      <c r="M657" t="str">
        <f t="shared" si="21"/>
        <v>0–17</v>
      </c>
    </row>
    <row r="658" spans="1:13">
      <c r="A658" t="s">
        <v>1229</v>
      </c>
      <c r="B658" t="s">
        <v>289</v>
      </c>
      <c r="C658">
        <v>3</v>
      </c>
      <c r="D658" t="s">
        <v>13</v>
      </c>
      <c r="E658" s="2">
        <v>45388</v>
      </c>
      <c r="F658" s="2">
        <v>45393</v>
      </c>
      <c r="G658" t="s">
        <v>50</v>
      </c>
      <c r="H658" t="s">
        <v>124</v>
      </c>
      <c r="I658" s="3">
        <v>7993.91</v>
      </c>
      <c r="J658" s="4">
        <v>90</v>
      </c>
      <c r="K658" t="s">
        <v>26</v>
      </c>
      <c r="L658">
        <f t="shared" si="20"/>
        <v>5</v>
      </c>
      <c r="M658" t="str">
        <f t="shared" si="21"/>
        <v>0–17</v>
      </c>
    </row>
    <row r="659" spans="1:13">
      <c r="A659" t="s">
        <v>1230</v>
      </c>
      <c r="B659" t="s">
        <v>891</v>
      </c>
      <c r="C659">
        <v>79</v>
      </c>
      <c r="D659" t="s">
        <v>13</v>
      </c>
      <c r="E659" s="2">
        <v>45926</v>
      </c>
      <c r="F659" s="2">
        <v>45933</v>
      </c>
      <c r="G659" t="s">
        <v>32</v>
      </c>
      <c r="H659" t="s">
        <v>54</v>
      </c>
      <c r="I659" s="3">
        <v>9475.6200000000008</v>
      </c>
      <c r="J659" s="4">
        <v>90</v>
      </c>
      <c r="K659" t="s">
        <v>16</v>
      </c>
      <c r="L659">
        <f t="shared" si="20"/>
        <v>7</v>
      </c>
      <c r="M659" t="str">
        <f t="shared" si="21"/>
        <v>65+</v>
      </c>
    </row>
    <row r="660" spans="1:13">
      <c r="A660" t="s">
        <v>1231</v>
      </c>
      <c r="B660" t="s">
        <v>1012</v>
      </c>
      <c r="C660">
        <v>10</v>
      </c>
      <c r="D660" t="s">
        <v>13</v>
      </c>
      <c r="E660" s="2">
        <v>45975</v>
      </c>
      <c r="F660" s="2">
        <v>45980</v>
      </c>
      <c r="G660" t="s">
        <v>50</v>
      </c>
      <c r="H660" t="s">
        <v>118</v>
      </c>
      <c r="I660" s="3">
        <v>8509.42</v>
      </c>
      <c r="J660" s="4">
        <v>0</v>
      </c>
      <c r="K660" t="s">
        <v>16</v>
      </c>
      <c r="L660">
        <f t="shared" si="20"/>
        <v>5</v>
      </c>
      <c r="M660" t="str">
        <f t="shared" si="21"/>
        <v>0–17</v>
      </c>
    </row>
    <row r="661" spans="1:13">
      <c r="A661" t="s">
        <v>1232</v>
      </c>
      <c r="B661" t="s">
        <v>1233</v>
      </c>
      <c r="C661">
        <v>50</v>
      </c>
      <c r="D661" t="s">
        <v>13</v>
      </c>
      <c r="E661" s="2">
        <v>45635</v>
      </c>
      <c r="F661" s="2">
        <v>45643</v>
      </c>
      <c r="G661" t="s">
        <v>61</v>
      </c>
      <c r="H661" t="s">
        <v>78</v>
      </c>
      <c r="I661" s="3">
        <v>20107.36</v>
      </c>
      <c r="J661" s="4">
        <v>70</v>
      </c>
      <c r="K661" t="s">
        <v>16</v>
      </c>
      <c r="L661">
        <f t="shared" si="20"/>
        <v>8</v>
      </c>
      <c r="M661" t="str">
        <f t="shared" si="21"/>
        <v>50–64</v>
      </c>
    </row>
    <row r="662" spans="1:13">
      <c r="A662" t="s">
        <v>1234</v>
      </c>
      <c r="B662" t="s">
        <v>1235</v>
      </c>
      <c r="C662">
        <v>29</v>
      </c>
      <c r="D662" t="s">
        <v>13</v>
      </c>
      <c r="E662" s="2">
        <v>45491</v>
      </c>
      <c r="F662" s="2">
        <v>45501</v>
      </c>
      <c r="G662" t="s">
        <v>61</v>
      </c>
      <c r="H662" t="s">
        <v>98</v>
      </c>
      <c r="I662" s="3">
        <v>26732.79</v>
      </c>
      <c r="J662" s="4">
        <v>80</v>
      </c>
      <c r="K662" t="s">
        <v>16</v>
      </c>
      <c r="L662">
        <f t="shared" si="20"/>
        <v>10</v>
      </c>
      <c r="M662" t="str">
        <f t="shared" si="21"/>
        <v>18–34</v>
      </c>
    </row>
    <row r="663" spans="1:13">
      <c r="A663" t="s">
        <v>1236</v>
      </c>
      <c r="B663" t="s">
        <v>1237</v>
      </c>
      <c r="C663">
        <v>27</v>
      </c>
      <c r="D663" t="s">
        <v>13</v>
      </c>
      <c r="E663" s="2">
        <v>45868</v>
      </c>
      <c r="F663" s="2">
        <v>45869</v>
      </c>
      <c r="G663" t="s">
        <v>24</v>
      </c>
      <c r="H663" t="s">
        <v>42</v>
      </c>
      <c r="I663" s="3">
        <v>2285.5</v>
      </c>
      <c r="J663" s="4">
        <v>50</v>
      </c>
      <c r="K663" t="s">
        <v>16</v>
      </c>
      <c r="L663">
        <f t="shared" si="20"/>
        <v>1</v>
      </c>
      <c r="M663" t="str">
        <f t="shared" si="21"/>
        <v>18–34</v>
      </c>
    </row>
    <row r="664" spans="1:13">
      <c r="A664" t="s">
        <v>1238</v>
      </c>
      <c r="B664" t="s">
        <v>1239</v>
      </c>
      <c r="C664">
        <v>11</v>
      </c>
      <c r="D664" t="s">
        <v>19</v>
      </c>
      <c r="E664" s="2">
        <v>45418</v>
      </c>
      <c r="F664" s="2">
        <v>45422</v>
      </c>
      <c r="G664" t="s">
        <v>50</v>
      </c>
      <c r="H664" t="s">
        <v>51</v>
      </c>
      <c r="I664" s="3">
        <v>3830.25</v>
      </c>
      <c r="J664" s="4">
        <v>90</v>
      </c>
      <c r="K664" t="s">
        <v>21</v>
      </c>
      <c r="L664">
        <f t="shared" si="20"/>
        <v>4</v>
      </c>
      <c r="M664" t="str">
        <f t="shared" si="21"/>
        <v>0–17</v>
      </c>
    </row>
    <row r="665" spans="1:13">
      <c r="A665" t="s">
        <v>1240</v>
      </c>
      <c r="B665" t="s">
        <v>1241</v>
      </c>
      <c r="C665">
        <v>17</v>
      </c>
      <c r="D665" t="s">
        <v>19</v>
      </c>
      <c r="E665" s="2">
        <v>45438</v>
      </c>
      <c r="F665" s="2">
        <v>45443</v>
      </c>
      <c r="G665" t="s">
        <v>50</v>
      </c>
      <c r="H665" t="s">
        <v>124</v>
      </c>
      <c r="I665" s="3">
        <v>3322.2</v>
      </c>
      <c r="J665" s="4">
        <v>60</v>
      </c>
      <c r="K665" t="s">
        <v>16</v>
      </c>
      <c r="L665">
        <f t="shared" si="20"/>
        <v>5</v>
      </c>
      <c r="M665" t="str">
        <f t="shared" si="21"/>
        <v>0–17</v>
      </c>
    </row>
    <row r="666" spans="1:13">
      <c r="A666" t="s">
        <v>1242</v>
      </c>
      <c r="B666" t="s">
        <v>1243</v>
      </c>
      <c r="C666">
        <v>42</v>
      </c>
      <c r="D666" t="s">
        <v>19</v>
      </c>
      <c r="E666" s="2">
        <v>45585</v>
      </c>
      <c r="F666" s="2">
        <v>45593</v>
      </c>
      <c r="G666" t="s">
        <v>14</v>
      </c>
      <c r="H666" t="s">
        <v>39</v>
      </c>
      <c r="I666" s="3">
        <v>16467.43</v>
      </c>
      <c r="J666" s="4">
        <v>70</v>
      </c>
      <c r="K666" t="s">
        <v>16</v>
      </c>
      <c r="L666">
        <f t="shared" si="20"/>
        <v>8</v>
      </c>
      <c r="M666" t="str">
        <f t="shared" si="21"/>
        <v>35–49</v>
      </c>
    </row>
    <row r="667" spans="1:13">
      <c r="A667" t="s">
        <v>1244</v>
      </c>
      <c r="B667" t="s">
        <v>80</v>
      </c>
      <c r="C667">
        <v>57</v>
      </c>
      <c r="D667" t="s">
        <v>19</v>
      </c>
      <c r="E667" s="2">
        <v>45477</v>
      </c>
      <c r="F667" s="2">
        <v>45482</v>
      </c>
      <c r="G667" t="s">
        <v>61</v>
      </c>
      <c r="H667" t="s">
        <v>134</v>
      </c>
      <c r="I667" s="3">
        <v>11600.46</v>
      </c>
      <c r="J667" s="4">
        <v>100</v>
      </c>
      <c r="K667" t="s">
        <v>16</v>
      </c>
      <c r="L667">
        <f t="shared" si="20"/>
        <v>5</v>
      </c>
      <c r="M667" t="str">
        <f t="shared" si="21"/>
        <v>50–64</v>
      </c>
    </row>
    <row r="668" spans="1:13">
      <c r="A668" t="s">
        <v>1245</v>
      </c>
      <c r="B668" t="s">
        <v>1246</v>
      </c>
      <c r="C668">
        <v>64</v>
      </c>
      <c r="D668" t="s">
        <v>13</v>
      </c>
      <c r="E668" s="2">
        <v>45334</v>
      </c>
      <c r="F668" s="2">
        <v>45344</v>
      </c>
      <c r="G668" t="s">
        <v>71</v>
      </c>
      <c r="H668" t="s">
        <v>158</v>
      </c>
      <c r="I668" s="3">
        <v>15327.29</v>
      </c>
      <c r="J668" s="4">
        <v>80</v>
      </c>
      <c r="K668" t="s">
        <v>16</v>
      </c>
      <c r="L668">
        <f t="shared" si="20"/>
        <v>10</v>
      </c>
      <c r="M668" t="str">
        <f t="shared" si="21"/>
        <v>50–64</v>
      </c>
    </row>
    <row r="669" spans="1:13">
      <c r="A669" t="s">
        <v>1247</v>
      </c>
      <c r="B669" t="s">
        <v>178</v>
      </c>
      <c r="C669">
        <v>47</v>
      </c>
      <c r="D669" t="s">
        <v>13</v>
      </c>
      <c r="E669" s="2">
        <v>45649</v>
      </c>
      <c r="F669" s="2">
        <v>45656</v>
      </c>
      <c r="G669" t="s">
        <v>32</v>
      </c>
      <c r="H669" t="s">
        <v>54</v>
      </c>
      <c r="I669" s="3">
        <v>6289.07</v>
      </c>
      <c r="J669" s="4">
        <v>100</v>
      </c>
      <c r="K669" t="s">
        <v>21</v>
      </c>
      <c r="L669">
        <f t="shared" si="20"/>
        <v>7</v>
      </c>
      <c r="M669" t="str">
        <f t="shared" si="21"/>
        <v>35–49</v>
      </c>
    </row>
    <row r="670" spans="1:13">
      <c r="A670" t="s">
        <v>1248</v>
      </c>
      <c r="B670" t="s">
        <v>1249</v>
      </c>
      <c r="C670">
        <v>45</v>
      </c>
      <c r="D670" t="s">
        <v>19</v>
      </c>
      <c r="E670" s="2">
        <v>45661</v>
      </c>
      <c r="F670" s="2">
        <v>45664</v>
      </c>
      <c r="G670" t="s">
        <v>71</v>
      </c>
      <c r="H670" t="s">
        <v>296</v>
      </c>
      <c r="I670" s="3">
        <v>4517.8599999999997</v>
      </c>
      <c r="J670" s="4">
        <v>80</v>
      </c>
      <c r="K670" t="s">
        <v>21</v>
      </c>
      <c r="L670">
        <f t="shared" si="20"/>
        <v>3</v>
      </c>
      <c r="M670" t="str">
        <f t="shared" si="21"/>
        <v>35–49</v>
      </c>
    </row>
    <row r="671" spans="1:13">
      <c r="A671" t="s">
        <v>1250</v>
      </c>
      <c r="B671" t="s">
        <v>933</v>
      </c>
      <c r="C671">
        <v>13</v>
      </c>
      <c r="D671" t="s">
        <v>19</v>
      </c>
      <c r="E671" s="2">
        <v>45493</v>
      </c>
      <c r="F671" s="2">
        <v>45495</v>
      </c>
      <c r="G671" t="s">
        <v>50</v>
      </c>
      <c r="H671" t="s">
        <v>121</v>
      </c>
      <c r="I671" s="3">
        <v>3226.45</v>
      </c>
      <c r="J671" s="4">
        <v>90</v>
      </c>
      <c r="K671" t="s">
        <v>16</v>
      </c>
      <c r="L671">
        <f t="shared" si="20"/>
        <v>2</v>
      </c>
      <c r="M671" t="str">
        <f t="shared" si="21"/>
        <v>0–17</v>
      </c>
    </row>
    <row r="672" spans="1:13">
      <c r="A672" t="s">
        <v>1251</v>
      </c>
      <c r="B672" t="s">
        <v>140</v>
      </c>
      <c r="C672">
        <v>2</v>
      </c>
      <c r="D672" t="s">
        <v>19</v>
      </c>
      <c r="E672" s="2">
        <v>45369</v>
      </c>
      <c r="F672" s="2">
        <v>45371</v>
      </c>
      <c r="G672" t="s">
        <v>50</v>
      </c>
      <c r="H672" t="s">
        <v>379</v>
      </c>
      <c r="I672" s="3">
        <v>1704.46</v>
      </c>
      <c r="J672" s="4">
        <v>60</v>
      </c>
      <c r="K672" t="s">
        <v>21</v>
      </c>
      <c r="L672">
        <f t="shared" si="20"/>
        <v>2</v>
      </c>
      <c r="M672" t="str">
        <f t="shared" si="21"/>
        <v>0–17</v>
      </c>
    </row>
    <row r="673" spans="1:13">
      <c r="A673" t="s">
        <v>1252</v>
      </c>
      <c r="B673" t="s">
        <v>1025</v>
      </c>
      <c r="C673">
        <v>55</v>
      </c>
      <c r="D673" t="s">
        <v>13</v>
      </c>
      <c r="E673" s="2">
        <v>45855</v>
      </c>
      <c r="F673" s="2">
        <v>45856</v>
      </c>
      <c r="G673" t="s">
        <v>32</v>
      </c>
      <c r="H673" t="s">
        <v>88</v>
      </c>
      <c r="I673" s="3">
        <v>921.05</v>
      </c>
      <c r="J673" s="4">
        <v>70</v>
      </c>
      <c r="K673" t="s">
        <v>26</v>
      </c>
      <c r="L673">
        <f t="shared" si="20"/>
        <v>1</v>
      </c>
      <c r="M673" t="str">
        <f t="shared" si="21"/>
        <v>50–64</v>
      </c>
    </row>
    <row r="674" spans="1:13">
      <c r="A674" t="s">
        <v>1253</v>
      </c>
      <c r="B674" t="s">
        <v>1254</v>
      </c>
      <c r="C674">
        <v>78</v>
      </c>
      <c r="D674" t="s">
        <v>19</v>
      </c>
      <c r="E674" s="2">
        <v>45404</v>
      </c>
      <c r="F674" s="2">
        <v>45411</v>
      </c>
      <c r="G674" t="s">
        <v>32</v>
      </c>
      <c r="H674" t="s">
        <v>115</v>
      </c>
      <c r="I674" s="3">
        <v>3751.44</v>
      </c>
      <c r="J674" s="4">
        <v>80</v>
      </c>
      <c r="K674" t="s">
        <v>16</v>
      </c>
      <c r="L674">
        <f t="shared" si="20"/>
        <v>7</v>
      </c>
      <c r="M674" t="str">
        <f t="shared" si="21"/>
        <v>65+</v>
      </c>
    </row>
    <row r="675" spans="1:13">
      <c r="A675" t="s">
        <v>1255</v>
      </c>
      <c r="B675" t="s">
        <v>1256</v>
      </c>
      <c r="C675">
        <v>73</v>
      </c>
      <c r="D675" t="s">
        <v>13</v>
      </c>
      <c r="E675" s="2">
        <v>45855</v>
      </c>
      <c r="F675" s="2">
        <v>45859</v>
      </c>
      <c r="G675" t="s">
        <v>32</v>
      </c>
      <c r="H675" t="s">
        <v>36</v>
      </c>
      <c r="I675" s="3">
        <v>5182.1499999999996</v>
      </c>
      <c r="J675" s="4">
        <v>70</v>
      </c>
      <c r="K675" t="s">
        <v>26</v>
      </c>
      <c r="L675">
        <f t="shared" si="20"/>
        <v>4</v>
      </c>
      <c r="M675" t="str">
        <f t="shared" si="21"/>
        <v>65+</v>
      </c>
    </row>
    <row r="676" spans="1:13">
      <c r="A676" t="s">
        <v>1257</v>
      </c>
      <c r="B676" t="s">
        <v>385</v>
      </c>
      <c r="C676">
        <v>57</v>
      </c>
      <c r="D676" t="s">
        <v>13</v>
      </c>
      <c r="E676" s="2">
        <v>45965</v>
      </c>
      <c r="F676" s="2">
        <v>45971</v>
      </c>
      <c r="G676" t="s">
        <v>14</v>
      </c>
      <c r="H676" t="s">
        <v>15</v>
      </c>
      <c r="I676" s="3">
        <v>13365.24</v>
      </c>
      <c r="J676" s="4">
        <v>70</v>
      </c>
      <c r="K676" t="s">
        <v>26</v>
      </c>
      <c r="L676">
        <f t="shared" si="20"/>
        <v>6</v>
      </c>
      <c r="M676" t="str">
        <f t="shared" si="21"/>
        <v>50–64</v>
      </c>
    </row>
    <row r="677" spans="1:13">
      <c r="A677" t="s">
        <v>1258</v>
      </c>
      <c r="B677" t="s">
        <v>1259</v>
      </c>
      <c r="C677">
        <v>75</v>
      </c>
      <c r="D677" t="s">
        <v>19</v>
      </c>
      <c r="E677" s="2">
        <v>45956</v>
      </c>
      <c r="F677" s="2">
        <v>45967</v>
      </c>
      <c r="G677" t="s">
        <v>61</v>
      </c>
      <c r="H677" t="s">
        <v>98</v>
      </c>
      <c r="I677" s="3">
        <v>14351.59</v>
      </c>
      <c r="J677" s="4">
        <v>50</v>
      </c>
      <c r="K677" t="s">
        <v>16</v>
      </c>
      <c r="L677">
        <f t="shared" si="20"/>
        <v>11</v>
      </c>
      <c r="M677" t="str">
        <f t="shared" si="21"/>
        <v>65+</v>
      </c>
    </row>
    <row r="678" spans="1:13">
      <c r="A678" t="s">
        <v>1260</v>
      </c>
      <c r="B678" t="s">
        <v>1237</v>
      </c>
      <c r="C678">
        <v>2</v>
      </c>
      <c r="D678" t="s">
        <v>13</v>
      </c>
      <c r="E678" s="2">
        <v>45814</v>
      </c>
      <c r="F678" s="2">
        <v>45815</v>
      </c>
      <c r="G678" t="s">
        <v>50</v>
      </c>
      <c r="H678" t="s">
        <v>121</v>
      </c>
      <c r="I678" s="3">
        <v>1340.39</v>
      </c>
      <c r="J678" s="4">
        <v>80</v>
      </c>
      <c r="K678" t="s">
        <v>26</v>
      </c>
      <c r="L678">
        <f t="shared" si="20"/>
        <v>1</v>
      </c>
      <c r="M678" t="str">
        <f t="shared" si="21"/>
        <v>0–17</v>
      </c>
    </row>
    <row r="679" spans="1:13">
      <c r="A679" t="s">
        <v>1261</v>
      </c>
      <c r="B679" t="s">
        <v>1262</v>
      </c>
      <c r="C679">
        <v>61</v>
      </c>
      <c r="D679" t="s">
        <v>13</v>
      </c>
      <c r="E679" s="2">
        <v>45900</v>
      </c>
      <c r="F679" s="2">
        <v>45902</v>
      </c>
      <c r="G679" t="s">
        <v>32</v>
      </c>
      <c r="H679" t="s">
        <v>235</v>
      </c>
      <c r="I679" s="3">
        <v>2477.89</v>
      </c>
      <c r="J679" s="4">
        <v>80</v>
      </c>
      <c r="K679" t="s">
        <v>21</v>
      </c>
      <c r="L679">
        <f t="shared" si="20"/>
        <v>2</v>
      </c>
      <c r="M679" t="str">
        <f t="shared" si="21"/>
        <v>50–64</v>
      </c>
    </row>
    <row r="680" spans="1:13">
      <c r="A680" t="s">
        <v>1263</v>
      </c>
      <c r="B680" t="s">
        <v>736</v>
      </c>
      <c r="C680">
        <v>6</v>
      </c>
      <c r="D680" t="s">
        <v>19</v>
      </c>
      <c r="E680" s="2">
        <v>45981</v>
      </c>
      <c r="F680" s="2">
        <v>45983</v>
      </c>
      <c r="G680" t="s">
        <v>50</v>
      </c>
      <c r="H680" t="s">
        <v>131</v>
      </c>
      <c r="I680" s="3">
        <v>1871.78</v>
      </c>
      <c r="J680" s="4">
        <v>80</v>
      </c>
      <c r="K680" t="s">
        <v>21</v>
      </c>
      <c r="L680">
        <f t="shared" si="20"/>
        <v>2</v>
      </c>
      <c r="M680" t="str">
        <f t="shared" si="21"/>
        <v>0–17</v>
      </c>
    </row>
    <row r="681" spans="1:13">
      <c r="A681" t="s">
        <v>1264</v>
      </c>
      <c r="B681" t="s">
        <v>1265</v>
      </c>
      <c r="C681">
        <v>36</v>
      </c>
      <c r="D681" t="s">
        <v>19</v>
      </c>
      <c r="E681" s="2">
        <v>45495</v>
      </c>
      <c r="F681" s="2">
        <v>45497</v>
      </c>
      <c r="G681" t="s">
        <v>24</v>
      </c>
      <c r="H681" t="s">
        <v>205</v>
      </c>
      <c r="I681" s="3">
        <v>3205.01</v>
      </c>
      <c r="J681" s="4">
        <v>70</v>
      </c>
      <c r="K681" t="s">
        <v>16</v>
      </c>
      <c r="L681">
        <f t="shared" si="20"/>
        <v>2</v>
      </c>
      <c r="M681" t="str">
        <f t="shared" si="21"/>
        <v>35–49</v>
      </c>
    </row>
    <row r="682" spans="1:13">
      <c r="A682" t="s">
        <v>1266</v>
      </c>
      <c r="B682" t="s">
        <v>1267</v>
      </c>
      <c r="C682">
        <v>52</v>
      </c>
      <c r="D682" t="s">
        <v>19</v>
      </c>
      <c r="E682" s="2">
        <v>45726</v>
      </c>
      <c r="F682" s="2">
        <v>45727</v>
      </c>
      <c r="G682" t="s">
        <v>32</v>
      </c>
      <c r="H682" t="s">
        <v>45</v>
      </c>
      <c r="I682" s="3">
        <v>1148.98</v>
      </c>
      <c r="J682" s="4">
        <v>50</v>
      </c>
      <c r="K682" t="s">
        <v>26</v>
      </c>
      <c r="L682">
        <f t="shared" si="20"/>
        <v>1</v>
      </c>
      <c r="M682" t="str">
        <f t="shared" si="21"/>
        <v>50–64</v>
      </c>
    </row>
    <row r="683" spans="1:13">
      <c r="A683" t="s">
        <v>1268</v>
      </c>
      <c r="B683" t="s">
        <v>1269</v>
      </c>
      <c r="C683">
        <v>6</v>
      </c>
      <c r="D683" t="s">
        <v>19</v>
      </c>
      <c r="E683" s="2">
        <v>45952</v>
      </c>
      <c r="F683" s="2">
        <v>45954</v>
      </c>
      <c r="G683" t="s">
        <v>50</v>
      </c>
      <c r="H683" t="s">
        <v>131</v>
      </c>
      <c r="I683" s="3">
        <v>2502.7199999999998</v>
      </c>
      <c r="J683" s="4">
        <v>80</v>
      </c>
      <c r="K683" t="s">
        <v>16</v>
      </c>
      <c r="L683">
        <f t="shared" si="20"/>
        <v>2</v>
      </c>
      <c r="M683" t="str">
        <f t="shared" si="21"/>
        <v>0–17</v>
      </c>
    </row>
    <row r="684" spans="1:13">
      <c r="A684" t="s">
        <v>1270</v>
      </c>
      <c r="B684" t="s">
        <v>1110</v>
      </c>
      <c r="C684">
        <v>68</v>
      </c>
      <c r="D684" t="s">
        <v>13</v>
      </c>
      <c r="E684" s="2">
        <v>45652</v>
      </c>
      <c r="F684" s="2">
        <v>45662</v>
      </c>
      <c r="G684" t="s">
        <v>61</v>
      </c>
      <c r="H684" t="s">
        <v>98</v>
      </c>
      <c r="I684" s="3">
        <v>23367.19</v>
      </c>
      <c r="J684" s="4">
        <v>80</v>
      </c>
      <c r="K684" t="s">
        <v>26</v>
      </c>
      <c r="L684">
        <f t="shared" si="20"/>
        <v>10</v>
      </c>
      <c r="M684" t="str">
        <f t="shared" si="21"/>
        <v>65+</v>
      </c>
    </row>
    <row r="685" spans="1:13">
      <c r="A685" t="s">
        <v>1271</v>
      </c>
      <c r="B685" t="s">
        <v>1272</v>
      </c>
      <c r="C685">
        <v>54</v>
      </c>
      <c r="D685" t="s">
        <v>13</v>
      </c>
      <c r="E685" s="2">
        <v>45917</v>
      </c>
      <c r="F685" s="2">
        <v>45929</v>
      </c>
      <c r="G685" t="s">
        <v>61</v>
      </c>
      <c r="H685" t="s">
        <v>78</v>
      </c>
      <c r="I685" s="3">
        <v>14220.87</v>
      </c>
      <c r="J685" s="4">
        <v>80</v>
      </c>
      <c r="K685" t="s">
        <v>16</v>
      </c>
      <c r="L685">
        <f t="shared" si="20"/>
        <v>12</v>
      </c>
      <c r="M685" t="str">
        <f t="shared" si="21"/>
        <v>50–64</v>
      </c>
    </row>
    <row r="686" spans="1:13">
      <c r="A686" t="s">
        <v>1273</v>
      </c>
      <c r="B686" t="s">
        <v>976</v>
      </c>
      <c r="C686">
        <v>7</v>
      </c>
      <c r="D686" t="s">
        <v>13</v>
      </c>
      <c r="E686" s="2">
        <v>45738</v>
      </c>
      <c r="F686" s="2">
        <v>45741</v>
      </c>
      <c r="G686" t="s">
        <v>50</v>
      </c>
      <c r="H686" t="s">
        <v>121</v>
      </c>
      <c r="I686" s="3">
        <v>2954.11</v>
      </c>
      <c r="J686" s="4">
        <v>80</v>
      </c>
      <c r="K686" t="s">
        <v>16</v>
      </c>
      <c r="L686">
        <f t="shared" si="20"/>
        <v>3</v>
      </c>
      <c r="M686" t="str">
        <f t="shared" si="21"/>
        <v>0–17</v>
      </c>
    </row>
    <row r="687" spans="1:13">
      <c r="A687" t="s">
        <v>1274</v>
      </c>
      <c r="B687" t="s">
        <v>970</v>
      </c>
      <c r="C687">
        <v>17</v>
      </c>
      <c r="D687" t="s">
        <v>19</v>
      </c>
      <c r="E687" s="2">
        <v>45984</v>
      </c>
      <c r="F687" s="2">
        <v>45985</v>
      </c>
      <c r="G687" t="s">
        <v>50</v>
      </c>
      <c r="H687" t="s">
        <v>131</v>
      </c>
      <c r="I687" s="3">
        <v>609.66</v>
      </c>
      <c r="J687" s="4">
        <v>90</v>
      </c>
      <c r="K687" t="s">
        <v>26</v>
      </c>
      <c r="L687">
        <f t="shared" si="20"/>
        <v>1</v>
      </c>
      <c r="M687" t="str">
        <f t="shared" si="21"/>
        <v>0–17</v>
      </c>
    </row>
    <row r="688" spans="1:13">
      <c r="A688" t="s">
        <v>1275</v>
      </c>
      <c r="B688" t="s">
        <v>436</v>
      </c>
      <c r="C688">
        <v>59</v>
      </c>
      <c r="D688" t="s">
        <v>13</v>
      </c>
      <c r="E688" s="2">
        <v>45967</v>
      </c>
      <c r="F688" s="2">
        <v>45971</v>
      </c>
      <c r="G688" t="s">
        <v>61</v>
      </c>
      <c r="H688" t="s">
        <v>134</v>
      </c>
      <c r="I688" s="3">
        <v>8093.46</v>
      </c>
      <c r="J688" s="4">
        <v>80</v>
      </c>
      <c r="K688" t="s">
        <v>16</v>
      </c>
      <c r="L688">
        <f t="shared" si="20"/>
        <v>4</v>
      </c>
      <c r="M688" t="str">
        <f t="shared" si="21"/>
        <v>50–64</v>
      </c>
    </row>
    <row r="689" spans="1:13">
      <c r="A689" t="s">
        <v>1276</v>
      </c>
      <c r="B689" t="s">
        <v>1277</v>
      </c>
      <c r="C689">
        <v>81</v>
      </c>
      <c r="D689" t="s">
        <v>13</v>
      </c>
      <c r="E689" s="2">
        <v>45746</v>
      </c>
      <c r="F689" s="2">
        <v>45747</v>
      </c>
      <c r="G689" t="s">
        <v>24</v>
      </c>
      <c r="H689" t="s">
        <v>334</v>
      </c>
      <c r="I689" s="3">
        <v>2072.19</v>
      </c>
      <c r="J689" s="4">
        <v>60</v>
      </c>
      <c r="K689" t="s">
        <v>26</v>
      </c>
      <c r="L689">
        <f t="shared" si="20"/>
        <v>1</v>
      </c>
      <c r="M689" t="str">
        <f t="shared" si="21"/>
        <v>65+</v>
      </c>
    </row>
    <row r="690" spans="1:13">
      <c r="A690" t="s">
        <v>1278</v>
      </c>
      <c r="B690" t="s">
        <v>1279</v>
      </c>
      <c r="C690">
        <v>21</v>
      </c>
      <c r="D690" t="s">
        <v>19</v>
      </c>
      <c r="E690" s="2">
        <v>46003</v>
      </c>
      <c r="F690" s="2">
        <v>46005</v>
      </c>
      <c r="G690" t="s">
        <v>24</v>
      </c>
      <c r="H690" t="s">
        <v>83</v>
      </c>
      <c r="I690" s="3">
        <v>1895.35</v>
      </c>
      <c r="J690" s="4">
        <v>50</v>
      </c>
      <c r="K690" t="s">
        <v>21</v>
      </c>
      <c r="L690">
        <f t="shared" si="20"/>
        <v>2</v>
      </c>
      <c r="M690" t="str">
        <f t="shared" si="21"/>
        <v>18–34</v>
      </c>
    </row>
    <row r="691" spans="1:13">
      <c r="A691" t="s">
        <v>1280</v>
      </c>
      <c r="B691" t="s">
        <v>1281</v>
      </c>
      <c r="C691">
        <v>32</v>
      </c>
      <c r="D691" t="s">
        <v>13</v>
      </c>
      <c r="E691" s="2">
        <v>45995</v>
      </c>
      <c r="F691" s="2">
        <v>45996</v>
      </c>
      <c r="G691" t="s">
        <v>32</v>
      </c>
      <c r="H691" t="s">
        <v>36</v>
      </c>
      <c r="I691" s="3">
        <v>1195.19</v>
      </c>
      <c r="J691" s="4">
        <v>100</v>
      </c>
      <c r="K691" t="s">
        <v>16</v>
      </c>
      <c r="L691">
        <f t="shared" si="20"/>
        <v>1</v>
      </c>
      <c r="M691" t="str">
        <f t="shared" si="21"/>
        <v>18–34</v>
      </c>
    </row>
    <row r="692" spans="1:13">
      <c r="A692" t="s">
        <v>1282</v>
      </c>
      <c r="B692" t="s">
        <v>1283</v>
      </c>
      <c r="C692">
        <v>59</v>
      </c>
      <c r="D692" t="s">
        <v>13</v>
      </c>
      <c r="E692" s="2">
        <v>45953</v>
      </c>
      <c r="F692" s="2">
        <v>45956</v>
      </c>
      <c r="G692" t="s">
        <v>24</v>
      </c>
      <c r="H692" t="s">
        <v>42</v>
      </c>
      <c r="I692" s="3">
        <v>6880.53</v>
      </c>
      <c r="J692" s="4">
        <v>90</v>
      </c>
      <c r="K692" t="s">
        <v>21</v>
      </c>
      <c r="L692">
        <f t="shared" si="20"/>
        <v>3</v>
      </c>
      <c r="M692" t="str">
        <f t="shared" si="21"/>
        <v>50–64</v>
      </c>
    </row>
    <row r="693" spans="1:13">
      <c r="A693" t="s">
        <v>1284</v>
      </c>
      <c r="B693" t="s">
        <v>151</v>
      </c>
      <c r="C693">
        <v>3</v>
      </c>
      <c r="D693" t="s">
        <v>19</v>
      </c>
      <c r="E693" s="2">
        <v>45782</v>
      </c>
      <c r="F693" s="2">
        <v>45787</v>
      </c>
      <c r="G693" t="s">
        <v>50</v>
      </c>
      <c r="H693" t="s">
        <v>51</v>
      </c>
      <c r="I693" s="3">
        <v>8731.85</v>
      </c>
      <c r="J693" s="4">
        <v>100</v>
      </c>
      <c r="K693" t="s">
        <v>21</v>
      </c>
      <c r="L693">
        <f t="shared" si="20"/>
        <v>5</v>
      </c>
      <c r="M693" t="str">
        <f t="shared" si="21"/>
        <v>0–17</v>
      </c>
    </row>
    <row r="694" spans="1:13">
      <c r="A694" t="s">
        <v>1285</v>
      </c>
      <c r="B694" t="s">
        <v>828</v>
      </c>
      <c r="C694">
        <v>71</v>
      </c>
      <c r="D694" t="s">
        <v>19</v>
      </c>
      <c r="E694" s="2">
        <v>45673</v>
      </c>
      <c r="F694" s="2">
        <v>45679</v>
      </c>
      <c r="G694" t="s">
        <v>71</v>
      </c>
      <c r="H694" t="s">
        <v>238</v>
      </c>
      <c r="I694" s="3">
        <v>10575.02</v>
      </c>
      <c r="J694" s="4">
        <v>70</v>
      </c>
      <c r="K694" t="s">
        <v>21</v>
      </c>
      <c r="L694">
        <f t="shared" si="20"/>
        <v>6</v>
      </c>
      <c r="M694" t="str">
        <f t="shared" si="21"/>
        <v>65+</v>
      </c>
    </row>
    <row r="695" spans="1:13">
      <c r="A695" t="s">
        <v>1286</v>
      </c>
      <c r="B695" t="s">
        <v>1287</v>
      </c>
      <c r="C695">
        <v>46</v>
      </c>
      <c r="D695" t="s">
        <v>19</v>
      </c>
      <c r="E695" s="2">
        <v>45645</v>
      </c>
      <c r="F695" s="2">
        <v>45648</v>
      </c>
      <c r="G695" t="s">
        <v>32</v>
      </c>
      <c r="H695" t="s">
        <v>88</v>
      </c>
      <c r="I695" s="3">
        <v>1975.02</v>
      </c>
      <c r="J695" s="4">
        <v>90</v>
      </c>
      <c r="K695" t="s">
        <v>26</v>
      </c>
      <c r="L695">
        <f t="shared" si="20"/>
        <v>3</v>
      </c>
      <c r="M695" t="str">
        <f t="shared" si="21"/>
        <v>35–49</v>
      </c>
    </row>
    <row r="696" spans="1:13">
      <c r="A696" t="s">
        <v>1288</v>
      </c>
      <c r="B696" t="s">
        <v>1289</v>
      </c>
      <c r="C696">
        <v>47</v>
      </c>
      <c r="D696" t="s">
        <v>13</v>
      </c>
      <c r="E696" s="2">
        <v>45398</v>
      </c>
      <c r="F696" s="2">
        <v>45406</v>
      </c>
      <c r="G696" t="s">
        <v>61</v>
      </c>
      <c r="H696" t="s">
        <v>143</v>
      </c>
      <c r="I696" s="3">
        <v>14406.87</v>
      </c>
      <c r="J696" s="4">
        <v>100</v>
      </c>
      <c r="K696" t="s">
        <v>21</v>
      </c>
      <c r="L696">
        <f t="shared" si="20"/>
        <v>8</v>
      </c>
      <c r="M696" t="str">
        <f t="shared" si="21"/>
        <v>35–49</v>
      </c>
    </row>
    <row r="697" spans="1:13">
      <c r="A697" t="s">
        <v>1290</v>
      </c>
      <c r="B697" t="s">
        <v>1197</v>
      </c>
      <c r="C697">
        <v>79</v>
      </c>
      <c r="D697" t="s">
        <v>19</v>
      </c>
      <c r="E697" s="2">
        <v>45912</v>
      </c>
      <c r="F697" s="2">
        <v>45917</v>
      </c>
      <c r="G697" t="s">
        <v>14</v>
      </c>
      <c r="H697" t="s">
        <v>166</v>
      </c>
      <c r="I697" s="3">
        <v>10285.16</v>
      </c>
      <c r="J697" s="4">
        <v>80</v>
      </c>
      <c r="K697" t="s">
        <v>26</v>
      </c>
      <c r="L697">
        <f t="shared" si="20"/>
        <v>5</v>
      </c>
      <c r="M697" t="str">
        <f t="shared" si="21"/>
        <v>65+</v>
      </c>
    </row>
    <row r="698" spans="1:13">
      <c r="A698" t="s">
        <v>1291</v>
      </c>
      <c r="B698" t="s">
        <v>1292</v>
      </c>
      <c r="C698">
        <v>14</v>
      </c>
      <c r="D698" t="s">
        <v>13</v>
      </c>
      <c r="E698" s="2">
        <v>45388</v>
      </c>
      <c r="F698" s="2">
        <v>45389</v>
      </c>
      <c r="G698" t="s">
        <v>50</v>
      </c>
      <c r="H698" t="s">
        <v>51</v>
      </c>
      <c r="I698" s="3">
        <v>730.74</v>
      </c>
      <c r="J698" s="4">
        <v>0</v>
      </c>
      <c r="K698" t="s">
        <v>26</v>
      </c>
      <c r="L698">
        <f t="shared" si="20"/>
        <v>1</v>
      </c>
      <c r="M698" t="str">
        <f t="shared" si="21"/>
        <v>0–17</v>
      </c>
    </row>
    <row r="699" spans="1:13">
      <c r="A699" t="s">
        <v>1293</v>
      </c>
      <c r="B699" t="s">
        <v>1294</v>
      </c>
      <c r="C699">
        <v>30</v>
      </c>
      <c r="D699" t="s">
        <v>13</v>
      </c>
      <c r="E699" s="2">
        <v>45937</v>
      </c>
      <c r="F699" s="2">
        <v>45943</v>
      </c>
      <c r="G699" t="s">
        <v>61</v>
      </c>
      <c r="H699" t="s">
        <v>143</v>
      </c>
      <c r="I699" s="3">
        <v>12841.02</v>
      </c>
      <c r="J699" s="4">
        <v>70</v>
      </c>
      <c r="K699" t="s">
        <v>16</v>
      </c>
      <c r="L699">
        <f t="shared" si="20"/>
        <v>6</v>
      </c>
      <c r="M699" t="str">
        <f t="shared" si="21"/>
        <v>18–34</v>
      </c>
    </row>
    <row r="700" spans="1:13">
      <c r="A700" t="s">
        <v>1295</v>
      </c>
      <c r="B700" t="s">
        <v>1296</v>
      </c>
      <c r="C700">
        <v>71</v>
      </c>
      <c r="D700" t="s">
        <v>13</v>
      </c>
      <c r="E700" s="2">
        <v>45365</v>
      </c>
      <c r="F700" s="2">
        <v>45368</v>
      </c>
      <c r="G700" t="s">
        <v>71</v>
      </c>
      <c r="H700" t="s">
        <v>296</v>
      </c>
      <c r="I700" s="3">
        <v>3969.91</v>
      </c>
      <c r="J700" s="4">
        <v>90</v>
      </c>
      <c r="K700" t="s">
        <v>16</v>
      </c>
      <c r="L700">
        <f t="shared" si="20"/>
        <v>3</v>
      </c>
      <c r="M700" t="str">
        <f t="shared" si="21"/>
        <v>65+</v>
      </c>
    </row>
    <row r="701" spans="1:13">
      <c r="A701" t="s">
        <v>1297</v>
      </c>
      <c r="B701" t="s">
        <v>1298</v>
      </c>
      <c r="C701">
        <v>47</v>
      </c>
      <c r="D701" t="s">
        <v>13</v>
      </c>
      <c r="E701" s="2">
        <v>45910</v>
      </c>
      <c r="F701" s="2">
        <v>45913</v>
      </c>
      <c r="G701" t="s">
        <v>32</v>
      </c>
      <c r="H701" t="s">
        <v>33</v>
      </c>
      <c r="I701" s="3">
        <v>3558.48</v>
      </c>
      <c r="J701" s="4">
        <v>90</v>
      </c>
      <c r="K701" t="s">
        <v>21</v>
      </c>
      <c r="L701">
        <f t="shared" si="20"/>
        <v>3</v>
      </c>
      <c r="M701" t="str">
        <f t="shared" si="21"/>
        <v>35–49</v>
      </c>
    </row>
    <row r="702" spans="1:13">
      <c r="A702" t="s">
        <v>1299</v>
      </c>
      <c r="B702" t="s">
        <v>1300</v>
      </c>
      <c r="C702">
        <v>35</v>
      </c>
      <c r="D702" t="s">
        <v>13</v>
      </c>
      <c r="E702" s="2">
        <v>45647</v>
      </c>
      <c r="F702" s="2">
        <v>45649</v>
      </c>
      <c r="G702" t="s">
        <v>24</v>
      </c>
      <c r="H702" t="s">
        <v>29</v>
      </c>
      <c r="I702" s="3">
        <v>2492.36</v>
      </c>
      <c r="J702" s="4">
        <v>90</v>
      </c>
      <c r="K702" t="s">
        <v>26</v>
      </c>
      <c r="L702">
        <f t="shared" si="20"/>
        <v>2</v>
      </c>
      <c r="M702" t="str">
        <f t="shared" si="21"/>
        <v>35–49</v>
      </c>
    </row>
    <row r="703" spans="1:13">
      <c r="A703" t="s">
        <v>1301</v>
      </c>
      <c r="B703" t="s">
        <v>1302</v>
      </c>
      <c r="C703">
        <v>64</v>
      </c>
      <c r="D703" t="s">
        <v>13</v>
      </c>
      <c r="E703" s="2">
        <v>45752</v>
      </c>
      <c r="F703" s="2">
        <v>45755</v>
      </c>
      <c r="G703" t="s">
        <v>32</v>
      </c>
      <c r="H703" t="s">
        <v>235</v>
      </c>
      <c r="I703" s="3">
        <v>2931.95</v>
      </c>
      <c r="J703" s="4">
        <v>100</v>
      </c>
      <c r="K703" t="s">
        <v>16</v>
      </c>
      <c r="L703">
        <f t="shared" si="20"/>
        <v>3</v>
      </c>
      <c r="M703" t="str">
        <f t="shared" si="21"/>
        <v>50–64</v>
      </c>
    </row>
    <row r="704" spans="1:13">
      <c r="A704" t="s">
        <v>1303</v>
      </c>
      <c r="B704" t="s">
        <v>1304</v>
      </c>
      <c r="C704">
        <v>39</v>
      </c>
      <c r="D704" t="s">
        <v>19</v>
      </c>
      <c r="E704" s="2">
        <v>45634</v>
      </c>
      <c r="F704" s="2">
        <v>45636</v>
      </c>
      <c r="G704" t="s">
        <v>24</v>
      </c>
      <c r="H704" t="s">
        <v>205</v>
      </c>
      <c r="I704" s="3">
        <v>3264.79</v>
      </c>
      <c r="J704" s="4">
        <v>70</v>
      </c>
      <c r="K704" t="s">
        <v>16</v>
      </c>
      <c r="L704">
        <f t="shared" si="20"/>
        <v>2</v>
      </c>
      <c r="M704" t="str">
        <f t="shared" si="21"/>
        <v>35–49</v>
      </c>
    </row>
    <row r="705" spans="1:13">
      <c r="A705" t="s">
        <v>1305</v>
      </c>
      <c r="B705" t="s">
        <v>1306</v>
      </c>
      <c r="C705">
        <v>65</v>
      </c>
      <c r="D705" t="s">
        <v>13</v>
      </c>
      <c r="E705" s="2">
        <v>46019</v>
      </c>
      <c r="F705" s="2">
        <v>46023</v>
      </c>
      <c r="G705" t="s">
        <v>32</v>
      </c>
      <c r="H705" t="s">
        <v>88</v>
      </c>
      <c r="I705" s="3">
        <v>5976.06</v>
      </c>
      <c r="J705" s="4">
        <v>70</v>
      </c>
      <c r="K705" t="s">
        <v>21</v>
      </c>
      <c r="L705">
        <f t="shared" si="20"/>
        <v>4</v>
      </c>
      <c r="M705" t="str">
        <f t="shared" si="21"/>
        <v>65+</v>
      </c>
    </row>
    <row r="706" spans="1:13">
      <c r="A706" t="s">
        <v>1307</v>
      </c>
      <c r="B706" t="s">
        <v>844</v>
      </c>
      <c r="C706">
        <v>85</v>
      </c>
      <c r="D706" t="s">
        <v>19</v>
      </c>
      <c r="E706" s="2">
        <v>45742</v>
      </c>
      <c r="F706" s="2">
        <v>45743</v>
      </c>
      <c r="G706" t="s">
        <v>32</v>
      </c>
      <c r="H706" t="s">
        <v>33</v>
      </c>
      <c r="I706" s="3">
        <v>1133.0999999999999</v>
      </c>
      <c r="J706" s="4">
        <v>70</v>
      </c>
      <c r="K706" t="s">
        <v>21</v>
      </c>
      <c r="L706">
        <f t="shared" si="20"/>
        <v>1</v>
      </c>
      <c r="M706" t="str">
        <f t="shared" si="21"/>
        <v>65+</v>
      </c>
    </row>
    <row r="707" spans="1:13">
      <c r="A707" t="s">
        <v>1308</v>
      </c>
      <c r="B707" t="s">
        <v>1102</v>
      </c>
      <c r="C707">
        <v>85</v>
      </c>
      <c r="D707" t="s">
        <v>13</v>
      </c>
      <c r="E707" s="2">
        <v>45897</v>
      </c>
      <c r="F707" s="2">
        <v>45899</v>
      </c>
      <c r="G707" t="s">
        <v>24</v>
      </c>
      <c r="H707" t="s">
        <v>205</v>
      </c>
      <c r="I707" s="3">
        <v>4676.38</v>
      </c>
      <c r="J707" s="4">
        <v>90</v>
      </c>
      <c r="K707" t="s">
        <v>16</v>
      </c>
      <c r="L707">
        <f t="shared" ref="L707:L770" si="22">F707-E707</f>
        <v>2</v>
      </c>
      <c r="M707" t="str">
        <f t="shared" ref="M707:M770" si="23">IF(C707&lt;=17,"0–17",IF(C707&lt;=34,"18–34",IF(C707&lt;=49,"35–49",IF(C707&lt;=64,"50–64","65+"))))</f>
        <v>65+</v>
      </c>
    </row>
    <row r="708" spans="1:13">
      <c r="A708" t="s">
        <v>1309</v>
      </c>
      <c r="B708" t="s">
        <v>1035</v>
      </c>
      <c r="C708">
        <v>72</v>
      </c>
      <c r="D708" t="s">
        <v>13</v>
      </c>
      <c r="E708" s="2">
        <v>45664</v>
      </c>
      <c r="F708" s="2">
        <v>45666</v>
      </c>
      <c r="G708" t="s">
        <v>24</v>
      </c>
      <c r="H708" t="s">
        <v>205</v>
      </c>
      <c r="I708" s="3">
        <v>2041.86</v>
      </c>
      <c r="J708" s="4">
        <v>90</v>
      </c>
      <c r="K708" t="s">
        <v>16</v>
      </c>
      <c r="L708">
        <f t="shared" si="22"/>
        <v>2</v>
      </c>
      <c r="M708" t="str">
        <f t="shared" si="23"/>
        <v>65+</v>
      </c>
    </row>
    <row r="709" spans="1:13">
      <c r="A709" t="s">
        <v>1310</v>
      </c>
      <c r="B709" t="s">
        <v>974</v>
      </c>
      <c r="C709">
        <v>40</v>
      </c>
      <c r="D709" t="s">
        <v>19</v>
      </c>
      <c r="E709" s="2">
        <v>45495</v>
      </c>
      <c r="F709" s="2">
        <v>45501</v>
      </c>
      <c r="G709" t="s">
        <v>14</v>
      </c>
      <c r="H709" t="s">
        <v>166</v>
      </c>
      <c r="I709" s="3">
        <v>11703.16</v>
      </c>
      <c r="J709" s="4">
        <v>90</v>
      </c>
      <c r="K709" t="s">
        <v>16</v>
      </c>
      <c r="L709">
        <f t="shared" si="22"/>
        <v>6</v>
      </c>
      <c r="M709" t="str">
        <f t="shared" si="23"/>
        <v>35–49</v>
      </c>
    </row>
    <row r="710" spans="1:13">
      <c r="A710" t="s">
        <v>1311</v>
      </c>
      <c r="B710" t="s">
        <v>28</v>
      </c>
      <c r="C710">
        <v>6</v>
      </c>
      <c r="D710" t="s">
        <v>19</v>
      </c>
      <c r="E710" s="2">
        <v>45942</v>
      </c>
      <c r="F710" s="2">
        <v>45943</v>
      </c>
      <c r="G710" t="s">
        <v>50</v>
      </c>
      <c r="H710" t="s">
        <v>131</v>
      </c>
      <c r="I710" s="3">
        <v>1336.01</v>
      </c>
      <c r="J710" s="4">
        <v>80</v>
      </c>
      <c r="K710" t="s">
        <v>21</v>
      </c>
      <c r="L710">
        <f t="shared" si="22"/>
        <v>1</v>
      </c>
      <c r="M710" t="str">
        <f t="shared" si="23"/>
        <v>0–17</v>
      </c>
    </row>
    <row r="711" spans="1:13">
      <c r="A711" t="s">
        <v>1312</v>
      </c>
      <c r="B711" t="s">
        <v>1313</v>
      </c>
      <c r="C711">
        <v>81</v>
      </c>
      <c r="D711" t="s">
        <v>13</v>
      </c>
      <c r="E711" s="2">
        <v>45777</v>
      </c>
      <c r="F711" s="2">
        <v>45785</v>
      </c>
      <c r="G711" t="s">
        <v>14</v>
      </c>
      <c r="H711" t="s">
        <v>15</v>
      </c>
      <c r="I711" s="3">
        <v>21413.919999999998</v>
      </c>
      <c r="J711" s="4">
        <v>80</v>
      </c>
      <c r="K711" t="s">
        <v>16</v>
      </c>
      <c r="L711">
        <f t="shared" si="22"/>
        <v>8</v>
      </c>
      <c r="M711" t="str">
        <f t="shared" si="23"/>
        <v>65+</v>
      </c>
    </row>
    <row r="712" spans="1:13">
      <c r="A712" t="s">
        <v>1314</v>
      </c>
      <c r="B712" t="s">
        <v>1211</v>
      </c>
      <c r="C712">
        <v>56</v>
      </c>
      <c r="D712" t="s">
        <v>19</v>
      </c>
      <c r="E712" s="2">
        <v>45654</v>
      </c>
      <c r="F712" s="2">
        <v>45656</v>
      </c>
      <c r="G712" t="s">
        <v>24</v>
      </c>
      <c r="H712" t="s">
        <v>222</v>
      </c>
      <c r="I712" s="3">
        <v>4020.17</v>
      </c>
      <c r="J712" s="4">
        <v>80</v>
      </c>
      <c r="K712" t="s">
        <v>26</v>
      </c>
      <c r="L712">
        <f t="shared" si="22"/>
        <v>2</v>
      </c>
      <c r="M712" t="str">
        <f t="shared" si="23"/>
        <v>50–64</v>
      </c>
    </row>
    <row r="713" spans="1:13">
      <c r="A713" t="s">
        <v>1315</v>
      </c>
      <c r="B713" t="s">
        <v>1316</v>
      </c>
      <c r="C713">
        <v>66</v>
      </c>
      <c r="D713" t="s">
        <v>19</v>
      </c>
      <c r="E713" s="2">
        <v>45465</v>
      </c>
      <c r="F713" s="2">
        <v>45477</v>
      </c>
      <c r="G713" t="s">
        <v>61</v>
      </c>
      <c r="H713" t="s">
        <v>78</v>
      </c>
      <c r="I713" s="3">
        <v>28053.05</v>
      </c>
      <c r="J713" s="4">
        <v>80</v>
      </c>
      <c r="K713" t="s">
        <v>16</v>
      </c>
      <c r="L713">
        <f t="shared" si="22"/>
        <v>12</v>
      </c>
      <c r="M713" t="str">
        <f t="shared" si="23"/>
        <v>65+</v>
      </c>
    </row>
    <row r="714" spans="1:13">
      <c r="A714" t="s">
        <v>1317</v>
      </c>
      <c r="B714" t="s">
        <v>595</v>
      </c>
      <c r="C714">
        <v>34</v>
      </c>
      <c r="D714" t="s">
        <v>19</v>
      </c>
      <c r="E714" s="2">
        <v>45558</v>
      </c>
      <c r="F714" s="2">
        <v>45569</v>
      </c>
      <c r="G714" t="s">
        <v>71</v>
      </c>
      <c r="H714" t="s">
        <v>296</v>
      </c>
      <c r="I714" s="3">
        <v>23948.97</v>
      </c>
      <c r="J714" s="4">
        <v>100</v>
      </c>
      <c r="K714" t="s">
        <v>16</v>
      </c>
      <c r="L714">
        <f t="shared" si="22"/>
        <v>11</v>
      </c>
      <c r="M714" t="str">
        <f t="shared" si="23"/>
        <v>18–34</v>
      </c>
    </row>
    <row r="715" spans="1:13">
      <c r="A715" t="s">
        <v>1318</v>
      </c>
      <c r="B715" t="s">
        <v>1319</v>
      </c>
      <c r="C715">
        <v>84</v>
      </c>
      <c r="D715" t="s">
        <v>13</v>
      </c>
      <c r="E715" s="2">
        <v>45741</v>
      </c>
      <c r="F715" s="2">
        <v>45750</v>
      </c>
      <c r="G715" t="s">
        <v>14</v>
      </c>
      <c r="H715" t="s">
        <v>103</v>
      </c>
      <c r="I715" s="3">
        <v>23623.51</v>
      </c>
      <c r="J715" s="4">
        <v>90</v>
      </c>
      <c r="K715" t="s">
        <v>21</v>
      </c>
      <c r="L715">
        <f t="shared" si="22"/>
        <v>9</v>
      </c>
      <c r="M715" t="str">
        <f t="shared" si="23"/>
        <v>65+</v>
      </c>
    </row>
    <row r="716" spans="1:13">
      <c r="A716" t="s">
        <v>1320</v>
      </c>
      <c r="B716" t="s">
        <v>1321</v>
      </c>
      <c r="C716">
        <v>34</v>
      </c>
      <c r="D716" t="s">
        <v>13</v>
      </c>
      <c r="E716" s="2">
        <v>45894</v>
      </c>
      <c r="F716" s="2">
        <v>45900</v>
      </c>
      <c r="G716" t="s">
        <v>71</v>
      </c>
      <c r="H716" t="s">
        <v>238</v>
      </c>
      <c r="I716" s="3">
        <v>10445.299999999999</v>
      </c>
      <c r="J716" s="4">
        <v>60</v>
      </c>
      <c r="K716" t="s">
        <v>26</v>
      </c>
      <c r="L716">
        <f t="shared" si="22"/>
        <v>6</v>
      </c>
      <c r="M716" t="str">
        <f t="shared" si="23"/>
        <v>18–34</v>
      </c>
    </row>
    <row r="717" spans="1:13">
      <c r="A717" t="s">
        <v>1322</v>
      </c>
      <c r="B717" t="s">
        <v>1323</v>
      </c>
      <c r="C717">
        <v>51</v>
      </c>
      <c r="D717" t="s">
        <v>13</v>
      </c>
      <c r="E717" s="2">
        <v>45891</v>
      </c>
      <c r="F717" s="2">
        <v>45898</v>
      </c>
      <c r="G717" t="s">
        <v>61</v>
      </c>
      <c r="H717" t="s">
        <v>75</v>
      </c>
      <c r="I717" s="3">
        <v>19007.18</v>
      </c>
      <c r="J717" s="4">
        <v>70</v>
      </c>
      <c r="K717" t="s">
        <v>16</v>
      </c>
      <c r="L717">
        <f t="shared" si="22"/>
        <v>7</v>
      </c>
      <c r="M717" t="str">
        <f t="shared" si="23"/>
        <v>50–64</v>
      </c>
    </row>
    <row r="718" spans="1:13">
      <c r="A718" t="s">
        <v>1324</v>
      </c>
      <c r="B718" t="s">
        <v>359</v>
      </c>
      <c r="C718">
        <v>43</v>
      </c>
      <c r="D718" t="s">
        <v>13</v>
      </c>
      <c r="E718" s="2">
        <v>45790</v>
      </c>
      <c r="F718" s="2">
        <v>45793</v>
      </c>
      <c r="G718" t="s">
        <v>24</v>
      </c>
      <c r="H718" t="s">
        <v>25</v>
      </c>
      <c r="I718" s="3">
        <v>2458.7600000000002</v>
      </c>
      <c r="J718" s="4">
        <v>90</v>
      </c>
      <c r="K718" t="s">
        <v>16</v>
      </c>
      <c r="L718">
        <f t="shared" si="22"/>
        <v>3</v>
      </c>
      <c r="M718" t="str">
        <f t="shared" si="23"/>
        <v>35–49</v>
      </c>
    </row>
    <row r="719" spans="1:13">
      <c r="A719" t="s">
        <v>1325</v>
      </c>
      <c r="B719" t="s">
        <v>1326</v>
      </c>
      <c r="C719">
        <v>32</v>
      </c>
      <c r="D719" t="s">
        <v>13</v>
      </c>
      <c r="E719" s="2">
        <v>45678</v>
      </c>
      <c r="F719" s="2">
        <v>45686</v>
      </c>
      <c r="G719" t="s">
        <v>61</v>
      </c>
      <c r="H719" t="s">
        <v>143</v>
      </c>
      <c r="I719" s="3">
        <v>14632.49</v>
      </c>
      <c r="J719" s="4">
        <v>60</v>
      </c>
      <c r="K719" t="s">
        <v>26</v>
      </c>
      <c r="L719">
        <f t="shared" si="22"/>
        <v>8</v>
      </c>
      <c r="M719" t="str">
        <f t="shared" si="23"/>
        <v>18–34</v>
      </c>
    </row>
    <row r="720" spans="1:13">
      <c r="A720" t="s">
        <v>1327</v>
      </c>
      <c r="B720" t="s">
        <v>920</v>
      </c>
      <c r="C720">
        <v>34</v>
      </c>
      <c r="D720" t="s">
        <v>19</v>
      </c>
      <c r="E720" s="2">
        <v>45740</v>
      </c>
      <c r="F720" s="2">
        <v>45745</v>
      </c>
      <c r="G720" t="s">
        <v>32</v>
      </c>
      <c r="H720" t="s">
        <v>54</v>
      </c>
      <c r="I720" s="3">
        <v>2891.81</v>
      </c>
      <c r="J720" s="4">
        <v>80</v>
      </c>
      <c r="K720" t="s">
        <v>16</v>
      </c>
      <c r="L720">
        <f t="shared" si="22"/>
        <v>5</v>
      </c>
      <c r="M720" t="str">
        <f t="shared" si="23"/>
        <v>18–34</v>
      </c>
    </row>
    <row r="721" spans="1:13">
      <c r="A721" t="s">
        <v>1328</v>
      </c>
      <c r="B721" t="s">
        <v>871</v>
      </c>
      <c r="C721">
        <v>54</v>
      </c>
      <c r="D721" t="s">
        <v>19</v>
      </c>
      <c r="E721" s="2">
        <v>45551</v>
      </c>
      <c r="F721" s="2">
        <v>45554</v>
      </c>
      <c r="G721" t="s">
        <v>14</v>
      </c>
      <c r="H721" t="s">
        <v>112</v>
      </c>
      <c r="I721" s="3">
        <v>8029.13</v>
      </c>
      <c r="J721" s="4">
        <v>80</v>
      </c>
      <c r="K721" t="s">
        <v>21</v>
      </c>
      <c r="L721">
        <f t="shared" si="22"/>
        <v>3</v>
      </c>
      <c r="M721" t="str">
        <f t="shared" si="23"/>
        <v>50–64</v>
      </c>
    </row>
    <row r="722" spans="1:13">
      <c r="A722" t="s">
        <v>1329</v>
      </c>
      <c r="B722" t="s">
        <v>1330</v>
      </c>
      <c r="C722">
        <v>45</v>
      </c>
      <c r="D722" t="s">
        <v>13</v>
      </c>
      <c r="E722" s="2">
        <v>45973</v>
      </c>
      <c r="F722" s="2">
        <v>45974</v>
      </c>
      <c r="G722" t="s">
        <v>32</v>
      </c>
      <c r="H722" t="s">
        <v>36</v>
      </c>
      <c r="I722" s="3">
        <v>858.67</v>
      </c>
      <c r="J722" s="4">
        <v>80</v>
      </c>
      <c r="K722" t="s">
        <v>16</v>
      </c>
      <c r="L722">
        <f t="shared" si="22"/>
        <v>1</v>
      </c>
      <c r="M722" t="str">
        <f t="shared" si="23"/>
        <v>35–49</v>
      </c>
    </row>
    <row r="723" spans="1:13">
      <c r="A723" t="s">
        <v>1331</v>
      </c>
      <c r="B723" t="s">
        <v>1332</v>
      </c>
      <c r="C723">
        <v>16</v>
      </c>
      <c r="D723" t="s">
        <v>13</v>
      </c>
      <c r="E723" s="2">
        <v>45978</v>
      </c>
      <c r="F723" s="2">
        <v>45980</v>
      </c>
      <c r="G723" t="s">
        <v>50</v>
      </c>
      <c r="H723" t="s">
        <v>379</v>
      </c>
      <c r="I723" s="3">
        <v>3460.07</v>
      </c>
      <c r="J723" s="4">
        <v>100</v>
      </c>
      <c r="K723" t="s">
        <v>21</v>
      </c>
      <c r="L723">
        <f t="shared" si="22"/>
        <v>2</v>
      </c>
      <c r="M723" t="str">
        <f t="shared" si="23"/>
        <v>0–17</v>
      </c>
    </row>
    <row r="724" spans="1:13">
      <c r="A724" t="s">
        <v>1333</v>
      </c>
      <c r="B724" t="s">
        <v>1334</v>
      </c>
      <c r="C724">
        <v>48</v>
      </c>
      <c r="D724" t="s">
        <v>13</v>
      </c>
      <c r="E724" s="2">
        <v>45879</v>
      </c>
      <c r="F724" s="2">
        <v>45886</v>
      </c>
      <c r="G724" t="s">
        <v>32</v>
      </c>
      <c r="H724" t="s">
        <v>88</v>
      </c>
      <c r="I724" s="3">
        <v>7776.12</v>
      </c>
      <c r="J724" s="4">
        <v>60</v>
      </c>
      <c r="K724" t="s">
        <v>21</v>
      </c>
      <c r="L724">
        <f t="shared" si="22"/>
        <v>7</v>
      </c>
      <c r="M724" t="str">
        <f t="shared" si="23"/>
        <v>35–49</v>
      </c>
    </row>
    <row r="725" spans="1:13">
      <c r="A725" t="s">
        <v>1335</v>
      </c>
      <c r="B725" t="s">
        <v>652</v>
      </c>
      <c r="C725">
        <v>69</v>
      </c>
      <c r="D725" t="s">
        <v>13</v>
      </c>
      <c r="E725" s="2">
        <v>45410</v>
      </c>
      <c r="F725" s="2">
        <v>45412</v>
      </c>
      <c r="G725" t="s">
        <v>24</v>
      </c>
      <c r="H725" t="s">
        <v>29</v>
      </c>
      <c r="I725" s="3">
        <v>4547.8500000000004</v>
      </c>
      <c r="J725" s="4">
        <v>70</v>
      </c>
      <c r="K725" t="s">
        <v>26</v>
      </c>
      <c r="L725">
        <f t="shared" si="22"/>
        <v>2</v>
      </c>
      <c r="M725" t="str">
        <f t="shared" si="23"/>
        <v>65+</v>
      </c>
    </row>
    <row r="726" spans="1:13">
      <c r="A726" t="s">
        <v>1336</v>
      </c>
      <c r="B726" t="s">
        <v>1337</v>
      </c>
      <c r="C726">
        <v>68</v>
      </c>
      <c r="D726" t="s">
        <v>19</v>
      </c>
      <c r="E726" s="2">
        <v>45395</v>
      </c>
      <c r="F726" s="2">
        <v>45400</v>
      </c>
      <c r="G726" t="s">
        <v>14</v>
      </c>
      <c r="H726" t="s">
        <v>39</v>
      </c>
      <c r="I726" s="3">
        <v>11509.91</v>
      </c>
      <c r="J726" s="4">
        <v>0</v>
      </c>
      <c r="K726" t="s">
        <v>21</v>
      </c>
      <c r="L726">
        <f t="shared" si="22"/>
        <v>5</v>
      </c>
      <c r="M726" t="str">
        <f t="shared" si="23"/>
        <v>65+</v>
      </c>
    </row>
    <row r="727" spans="1:13">
      <c r="A727" t="s">
        <v>1338</v>
      </c>
      <c r="B727" t="s">
        <v>336</v>
      </c>
      <c r="C727">
        <v>22</v>
      </c>
      <c r="D727" t="s">
        <v>19</v>
      </c>
      <c r="E727" s="2">
        <v>45453</v>
      </c>
      <c r="F727" s="2">
        <v>45456</v>
      </c>
      <c r="G727" t="s">
        <v>24</v>
      </c>
      <c r="H727" t="s">
        <v>222</v>
      </c>
      <c r="I727" s="3">
        <v>2402.42</v>
      </c>
      <c r="J727" s="4">
        <v>100</v>
      </c>
      <c r="K727" t="s">
        <v>16</v>
      </c>
      <c r="L727">
        <f t="shared" si="22"/>
        <v>3</v>
      </c>
      <c r="M727" t="str">
        <f t="shared" si="23"/>
        <v>18–34</v>
      </c>
    </row>
    <row r="728" spans="1:13">
      <c r="A728" t="s">
        <v>1339</v>
      </c>
      <c r="B728" t="s">
        <v>1340</v>
      </c>
      <c r="C728">
        <v>15</v>
      </c>
      <c r="D728" t="s">
        <v>13</v>
      </c>
      <c r="E728" s="2">
        <v>45352</v>
      </c>
      <c r="F728" s="2">
        <v>45356</v>
      </c>
      <c r="G728" t="s">
        <v>50</v>
      </c>
      <c r="H728" t="s">
        <v>51</v>
      </c>
      <c r="I728" s="3">
        <v>4108.03</v>
      </c>
      <c r="J728" s="4">
        <v>80</v>
      </c>
      <c r="K728" t="s">
        <v>16</v>
      </c>
      <c r="L728">
        <f t="shared" si="22"/>
        <v>4</v>
      </c>
      <c r="M728" t="str">
        <f t="shared" si="23"/>
        <v>0–17</v>
      </c>
    </row>
    <row r="729" spans="1:13">
      <c r="A729" t="s">
        <v>1341</v>
      </c>
      <c r="B729" t="s">
        <v>1342</v>
      </c>
      <c r="C729">
        <v>48</v>
      </c>
      <c r="D729" t="s">
        <v>19</v>
      </c>
      <c r="E729" s="2">
        <v>45674</v>
      </c>
      <c r="F729" s="2">
        <v>45680</v>
      </c>
      <c r="G729" t="s">
        <v>32</v>
      </c>
      <c r="H729" t="s">
        <v>88</v>
      </c>
      <c r="I729" s="3">
        <v>3552.94</v>
      </c>
      <c r="J729" s="4">
        <v>80</v>
      </c>
      <c r="K729" t="s">
        <v>21</v>
      </c>
      <c r="L729">
        <f t="shared" si="22"/>
        <v>6</v>
      </c>
      <c r="M729" t="str">
        <f t="shared" si="23"/>
        <v>35–49</v>
      </c>
    </row>
    <row r="730" spans="1:13">
      <c r="A730" t="s">
        <v>1343</v>
      </c>
      <c r="B730" t="s">
        <v>722</v>
      </c>
      <c r="C730">
        <v>85</v>
      </c>
      <c r="D730" t="s">
        <v>19</v>
      </c>
      <c r="E730" s="2">
        <v>45521</v>
      </c>
      <c r="F730" s="2">
        <v>45524</v>
      </c>
      <c r="G730" t="s">
        <v>24</v>
      </c>
      <c r="H730" t="s">
        <v>42</v>
      </c>
      <c r="I730" s="3">
        <v>2872.72</v>
      </c>
      <c r="J730" s="4">
        <v>50</v>
      </c>
      <c r="K730" t="s">
        <v>21</v>
      </c>
      <c r="L730">
        <f t="shared" si="22"/>
        <v>3</v>
      </c>
      <c r="M730" t="str">
        <f t="shared" si="23"/>
        <v>65+</v>
      </c>
    </row>
    <row r="731" spans="1:13">
      <c r="A731" t="s">
        <v>1344</v>
      </c>
      <c r="B731" t="s">
        <v>1345</v>
      </c>
      <c r="C731">
        <v>49</v>
      </c>
      <c r="D731" t="s">
        <v>13</v>
      </c>
      <c r="E731" s="2">
        <v>45608</v>
      </c>
      <c r="F731" s="2">
        <v>45616</v>
      </c>
      <c r="G731" t="s">
        <v>61</v>
      </c>
      <c r="H731" t="s">
        <v>62</v>
      </c>
      <c r="I731" s="3">
        <v>8897.51</v>
      </c>
      <c r="J731" s="4">
        <v>80</v>
      </c>
      <c r="K731" t="s">
        <v>16</v>
      </c>
      <c r="L731">
        <f t="shared" si="22"/>
        <v>8</v>
      </c>
      <c r="M731" t="str">
        <f t="shared" si="23"/>
        <v>35–49</v>
      </c>
    </row>
    <row r="732" spans="1:13">
      <c r="A732" t="s">
        <v>1346</v>
      </c>
      <c r="B732" t="s">
        <v>763</v>
      </c>
      <c r="C732">
        <v>10</v>
      </c>
      <c r="D732" t="s">
        <v>19</v>
      </c>
      <c r="E732" s="2">
        <v>45407</v>
      </c>
      <c r="F732" s="2">
        <v>45410</v>
      </c>
      <c r="G732" t="s">
        <v>50</v>
      </c>
      <c r="H732" t="s">
        <v>124</v>
      </c>
      <c r="I732" s="3">
        <v>3469.08</v>
      </c>
      <c r="J732" s="4">
        <v>80</v>
      </c>
      <c r="K732" t="s">
        <v>16</v>
      </c>
      <c r="L732">
        <f t="shared" si="22"/>
        <v>3</v>
      </c>
      <c r="M732" t="str">
        <f t="shared" si="23"/>
        <v>0–17</v>
      </c>
    </row>
    <row r="733" spans="1:13">
      <c r="A733" t="s">
        <v>1347</v>
      </c>
      <c r="B733" t="s">
        <v>1348</v>
      </c>
      <c r="C733">
        <v>47</v>
      </c>
      <c r="D733" t="s">
        <v>13</v>
      </c>
      <c r="E733" s="2">
        <v>45300</v>
      </c>
      <c r="F733" s="2">
        <v>45306</v>
      </c>
      <c r="G733" t="s">
        <v>14</v>
      </c>
      <c r="H733" t="s">
        <v>20</v>
      </c>
      <c r="I733" s="3">
        <v>8778.52</v>
      </c>
      <c r="J733" s="4">
        <v>80</v>
      </c>
      <c r="K733" t="s">
        <v>21</v>
      </c>
      <c r="L733">
        <f t="shared" si="22"/>
        <v>6</v>
      </c>
      <c r="M733" t="str">
        <f t="shared" si="23"/>
        <v>35–49</v>
      </c>
    </row>
    <row r="734" spans="1:13">
      <c r="A734" t="s">
        <v>1349</v>
      </c>
      <c r="B734" t="s">
        <v>648</v>
      </c>
      <c r="C734">
        <v>66</v>
      </c>
      <c r="D734" t="s">
        <v>13</v>
      </c>
      <c r="E734" s="2">
        <v>45449</v>
      </c>
      <c r="F734" s="2">
        <v>45463</v>
      </c>
      <c r="G734" t="s">
        <v>61</v>
      </c>
      <c r="H734" t="s">
        <v>134</v>
      </c>
      <c r="I734" s="3">
        <v>38501.9</v>
      </c>
      <c r="J734" s="4">
        <v>80</v>
      </c>
      <c r="K734" t="s">
        <v>16</v>
      </c>
      <c r="L734">
        <f t="shared" si="22"/>
        <v>14</v>
      </c>
      <c r="M734" t="str">
        <f t="shared" si="23"/>
        <v>65+</v>
      </c>
    </row>
    <row r="735" spans="1:13">
      <c r="A735" t="s">
        <v>1350</v>
      </c>
      <c r="B735" t="s">
        <v>353</v>
      </c>
      <c r="C735">
        <v>43</v>
      </c>
      <c r="D735" t="s">
        <v>13</v>
      </c>
      <c r="E735" s="2">
        <v>46016</v>
      </c>
      <c r="F735" s="2">
        <v>46018</v>
      </c>
      <c r="G735" t="s">
        <v>32</v>
      </c>
      <c r="H735" t="s">
        <v>235</v>
      </c>
      <c r="I735" s="3">
        <v>1693.89</v>
      </c>
      <c r="J735" s="4">
        <v>80</v>
      </c>
      <c r="K735" t="s">
        <v>16</v>
      </c>
      <c r="L735">
        <f t="shared" si="22"/>
        <v>2</v>
      </c>
      <c r="M735" t="str">
        <f t="shared" si="23"/>
        <v>35–49</v>
      </c>
    </row>
    <row r="736" spans="1:13">
      <c r="A736" t="s">
        <v>1351</v>
      </c>
      <c r="B736" t="s">
        <v>1352</v>
      </c>
      <c r="C736">
        <v>29</v>
      </c>
      <c r="D736" t="s">
        <v>13</v>
      </c>
      <c r="E736" s="2">
        <v>45440</v>
      </c>
      <c r="F736" s="2">
        <v>45441</v>
      </c>
      <c r="G736" t="s">
        <v>24</v>
      </c>
      <c r="H736" t="s">
        <v>83</v>
      </c>
      <c r="I736" s="3">
        <v>1250.03</v>
      </c>
      <c r="J736" s="4">
        <v>80</v>
      </c>
      <c r="K736" t="s">
        <v>16</v>
      </c>
      <c r="L736">
        <f t="shared" si="22"/>
        <v>1</v>
      </c>
      <c r="M736" t="str">
        <f t="shared" si="23"/>
        <v>18–34</v>
      </c>
    </row>
    <row r="737" spans="1:13">
      <c r="A737" t="s">
        <v>1353</v>
      </c>
      <c r="B737" t="s">
        <v>128</v>
      </c>
      <c r="C737">
        <v>76</v>
      </c>
      <c r="D737" t="s">
        <v>19</v>
      </c>
      <c r="E737" s="2">
        <v>45577</v>
      </c>
      <c r="F737" s="2">
        <v>45578</v>
      </c>
      <c r="G737" t="s">
        <v>24</v>
      </c>
      <c r="H737" t="s">
        <v>222</v>
      </c>
      <c r="I737" s="3">
        <v>2286.5500000000002</v>
      </c>
      <c r="J737" s="4">
        <v>90</v>
      </c>
      <c r="K737" t="s">
        <v>26</v>
      </c>
      <c r="L737">
        <f t="shared" si="22"/>
        <v>1</v>
      </c>
      <c r="M737" t="str">
        <f t="shared" si="23"/>
        <v>65+</v>
      </c>
    </row>
    <row r="738" spans="1:13">
      <c r="A738" t="s">
        <v>1354</v>
      </c>
      <c r="B738" t="s">
        <v>397</v>
      </c>
      <c r="C738">
        <v>70</v>
      </c>
      <c r="D738" t="s">
        <v>13</v>
      </c>
      <c r="E738" s="2">
        <v>45504</v>
      </c>
      <c r="F738" s="2">
        <v>45505</v>
      </c>
      <c r="G738" t="s">
        <v>24</v>
      </c>
      <c r="H738" t="s">
        <v>222</v>
      </c>
      <c r="I738" s="3">
        <v>1516.2</v>
      </c>
      <c r="J738" s="4">
        <v>80</v>
      </c>
      <c r="K738" t="s">
        <v>16</v>
      </c>
      <c r="L738">
        <f t="shared" si="22"/>
        <v>1</v>
      </c>
      <c r="M738" t="str">
        <f t="shared" si="23"/>
        <v>65+</v>
      </c>
    </row>
    <row r="739" spans="1:13">
      <c r="A739" t="s">
        <v>1355</v>
      </c>
      <c r="B739" t="s">
        <v>1356</v>
      </c>
      <c r="C739">
        <v>79</v>
      </c>
      <c r="D739" t="s">
        <v>19</v>
      </c>
      <c r="E739" s="2">
        <v>45659</v>
      </c>
      <c r="F739" s="2">
        <v>45669</v>
      </c>
      <c r="G739" t="s">
        <v>14</v>
      </c>
      <c r="H739" t="s">
        <v>15</v>
      </c>
      <c r="I739" s="3">
        <v>24161.06</v>
      </c>
      <c r="J739" s="4">
        <v>100</v>
      </c>
      <c r="K739" t="s">
        <v>16</v>
      </c>
      <c r="L739">
        <f t="shared" si="22"/>
        <v>10</v>
      </c>
      <c r="M739" t="str">
        <f t="shared" si="23"/>
        <v>65+</v>
      </c>
    </row>
    <row r="740" spans="1:13">
      <c r="A740" t="s">
        <v>1357</v>
      </c>
      <c r="B740" t="s">
        <v>1358</v>
      </c>
      <c r="C740">
        <v>76</v>
      </c>
      <c r="D740" t="s">
        <v>19</v>
      </c>
      <c r="E740" s="2">
        <v>45650</v>
      </c>
      <c r="F740" s="2">
        <v>45653</v>
      </c>
      <c r="G740" t="s">
        <v>24</v>
      </c>
      <c r="H740" t="s">
        <v>42</v>
      </c>
      <c r="I740" s="3">
        <v>5162.18</v>
      </c>
      <c r="J740" s="4">
        <v>90</v>
      </c>
      <c r="K740" t="s">
        <v>26</v>
      </c>
      <c r="L740">
        <f t="shared" si="22"/>
        <v>3</v>
      </c>
      <c r="M740" t="str">
        <f t="shared" si="23"/>
        <v>65+</v>
      </c>
    </row>
    <row r="741" spans="1:13">
      <c r="A741" t="s">
        <v>1359</v>
      </c>
      <c r="B741" t="s">
        <v>603</v>
      </c>
      <c r="C741">
        <v>27</v>
      </c>
      <c r="D741" t="s">
        <v>13</v>
      </c>
      <c r="E741" s="2">
        <v>45724</v>
      </c>
      <c r="F741" s="2">
        <v>45737</v>
      </c>
      <c r="G741" t="s">
        <v>61</v>
      </c>
      <c r="H741" t="s">
        <v>134</v>
      </c>
      <c r="I741" s="3">
        <v>22371.56</v>
      </c>
      <c r="J741" s="4">
        <v>80</v>
      </c>
      <c r="K741" t="s">
        <v>16</v>
      </c>
      <c r="L741">
        <f t="shared" si="22"/>
        <v>13</v>
      </c>
      <c r="M741" t="str">
        <f t="shared" si="23"/>
        <v>18–34</v>
      </c>
    </row>
    <row r="742" spans="1:13">
      <c r="A742" t="s">
        <v>1360</v>
      </c>
      <c r="B742" t="s">
        <v>528</v>
      </c>
      <c r="C742">
        <v>82</v>
      </c>
      <c r="D742" t="s">
        <v>19</v>
      </c>
      <c r="E742" s="2">
        <v>45592</v>
      </c>
      <c r="F742" s="2">
        <v>45593</v>
      </c>
      <c r="G742" t="s">
        <v>24</v>
      </c>
      <c r="H742" t="s">
        <v>83</v>
      </c>
      <c r="I742" s="3">
        <v>1865.06</v>
      </c>
      <c r="J742" s="4">
        <v>80</v>
      </c>
      <c r="K742" t="s">
        <v>16</v>
      </c>
      <c r="L742">
        <f t="shared" si="22"/>
        <v>1</v>
      </c>
      <c r="M742" t="str">
        <f t="shared" si="23"/>
        <v>65+</v>
      </c>
    </row>
    <row r="743" spans="1:13">
      <c r="A743" t="s">
        <v>1361</v>
      </c>
      <c r="B743" t="s">
        <v>1362</v>
      </c>
      <c r="C743">
        <v>71</v>
      </c>
      <c r="D743" t="s">
        <v>13</v>
      </c>
      <c r="E743" s="2">
        <v>45558</v>
      </c>
      <c r="F743" s="2">
        <v>45561</v>
      </c>
      <c r="G743" t="s">
        <v>14</v>
      </c>
      <c r="H743" t="s">
        <v>166</v>
      </c>
      <c r="I743" s="3">
        <v>7640.58</v>
      </c>
      <c r="J743" s="4">
        <v>80</v>
      </c>
      <c r="K743" t="s">
        <v>26</v>
      </c>
      <c r="L743">
        <f t="shared" si="22"/>
        <v>3</v>
      </c>
      <c r="M743" t="str">
        <f t="shared" si="23"/>
        <v>65+</v>
      </c>
    </row>
    <row r="744" spans="1:13">
      <c r="A744" t="s">
        <v>1363</v>
      </c>
      <c r="B744" t="s">
        <v>329</v>
      </c>
      <c r="C744">
        <v>69</v>
      </c>
      <c r="D744" t="s">
        <v>19</v>
      </c>
      <c r="E744" s="2">
        <v>45688</v>
      </c>
      <c r="F744" s="2">
        <v>45690</v>
      </c>
      <c r="G744" t="s">
        <v>32</v>
      </c>
      <c r="H744" t="s">
        <v>36</v>
      </c>
      <c r="I744" s="3">
        <v>2892.4</v>
      </c>
      <c r="J744" s="4">
        <v>50</v>
      </c>
      <c r="K744" t="s">
        <v>16</v>
      </c>
      <c r="L744">
        <f t="shared" si="22"/>
        <v>2</v>
      </c>
      <c r="M744" t="str">
        <f t="shared" si="23"/>
        <v>65+</v>
      </c>
    </row>
    <row r="745" spans="1:13">
      <c r="A745" t="s">
        <v>1364</v>
      </c>
      <c r="B745" t="s">
        <v>370</v>
      </c>
      <c r="C745">
        <v>32</v>
      </c>
      <c r="D745" t="s">
        <v>13</v>
      </c>
      <c r="E745" s="2">
        <v>45650</v>
      </c>
      <c r="F745" s="2">
        <v>45657</v>
      </c>
      <c r="G745" t="s">
        <v>71</v>
      </c>
      <c r="H745" t="s">
        <v>72</v>
      </c>
      <c r="I745" s="3">
        <v>9495.5300000000007</v>
      </c>
      <c r="J745" s="4">
        <v>100</v>
      </c>
      <c r="K745" t="s">
        <v>21</v>
      </c>
      <c r="L745">
        <f t="shared" si="22"/>
        <v>7</v>
      </c>
      <c r="M745" t="str">
        <f t="shared" si="23"/>
        <v>18–34</v>
      </c>
    </row>
    <row r="746" spans="1:13">
      <c r="A746" t="s">
        <v>1365</v>
      </c>
      <c r="B746" t="s">
        <v>551</v>
      </c>
      <c r="C746">
        <v>29</v>
      </c>
      <c r="D746" t="s">
        <v>19</v>
      </c>
      <c r="E746" s="2">
        <v>45559</v>
      </c>
      <c r="F746" s="2">
        <v>45560</v>
      </c>
      <c r="G746" t="s">
        <v>24</v>
      </c>
      <c r="H746" t="s">
        <v>29</v>
      </c>
      <c r="I746" s="3">
        <v>870.1</v>
      </c>
      <c r="J746" s="4">
        <v>80</v>
      </c>
      <c r="K746" t="s">
        <v>16</v>
      </c>
      <c r="L746">
        <f t="shared" si="22"/>
        <v>1</v>
      </c>
      <c r="M746" t="str">
        <f t="shared" si="23"/>
        <v>18–34</v>
      </c>
    </row>
    <row r="747" spans="1:13">
      <c r="A747" t="s">
        <v>1366</v>
      </c>
      <c r="B747" t="s">
        <v>301</v>
      </c>
      <c r="C747">
        <v>76</v>
      </c>
      <c r="D747" t="s">
        <v>19</v>
      </c>
      <c r="E747" s="2">
        <v>45306</v>
      </c>
      <c r="F747" s="2">
        <v>45307</v>
      </c>
      <c r="G747" t="s">
        <v>32</v>
      </c>
      <c r="H747" t="s">
        <v>33</v>
      </c>
      <c r="I747" s="3">
        <v>1437.06</v>
      </c>
      <c r="J747" s="4">
        <v>70</v>
      </c>
      <c r="K747" t="s">
        <v>21</v>
      </c>
      <c r="L747">
        <f t="shared" si="22"/>
        <v>1</v>
      </c>
      <c r="M747" t="str">
        <f t="shared" si="23"/>
        <v>65+</v>
      </c>
    </row>
    <row r="748" spans="1:13">
      <c r="A748" t="s">
        <v>1367</v>
      </c>
      <c r="B748" t="s">
        <v>503</v>
      </c>
      <c r="C748">
        <v>53</v>
      </c>
      <c r="D748" t="s">
        <v>19</v>
      </c>
      <c r="E748" s="2">
        <v>45519</v>
      </c>
      <c r="F748" s="2">
        <v>45524</v>
      </c>
      <c r="G748" t="s">
        <v>32</v>
      </c>
      <c r="H748" t="s">
        <v>54</v>
      </c>
      <c r="I748" s="3">
        <v>2735.83</v>
      </c>
      <c r="J748" s="4">
        <v>90</v>
      </c>
      <c r="K748" t="s">
        <v>21</v>
      </c>
      <c r="L748">
        <f t="shared" si="22"/>
        <v>5</v>
      </c>
      <c r="M748" t="str">
        <f t="shared" si="23"/>
        <v>50–64</v>
      </c>
    </row>
    <row r="749" spans="1:13">
      <c r="A749" t="s">
        <v>1368</v>
      </c>
      <c r="B749" t="s">
        <v>178</v>
      </c>
      <c r="C749">
        <v>27</v>
      </c>
      <c r="D749" t="s">
        <v>13</v>
      </c>
      <c r="E749" s="2">
        <v>45628</v>
      </c>
      <c r="F749" s="2">
        <v>45629</v>
      </c>
      <c r="G749" t="s">
        <v>24</v>
      </c>
      <c r="H749" t="s">
        <v>25</v>
      </c>
      <c r="I749" s="3">
        <v>1879.03</v>
      </c>
      <c r="J749" s="4">
        <v>100</v>
      </c>
      <c r="K749" t="s">
        <v>16</v>
      </c>
      <c r="L749">
        <f t="shared" si="22"/>
        <v>1</v>
      </c>
      <c r="M749" t="str">
        <f t="shared" si="23"/>
        <v>18–34</v>
      </c>
    </row>
    <row r="750" spans="1:13">
      <c r="A750" t="s">
        <v>1369</v>
      </c>
      <c r="B750" t="s">
        <v>722</v>
      </c>
      <c r="C750">
        <v>11</v>
      </c>
      <c r="D750" t="s">
        <v>19</v>
      </c>
      <c r="E750" s="2">
        <v>45482</v>
      </c>
      <c r="F750" s="2">
        <v>45486</v>
      </c>
      <c r="G750" t="s">
        <v>50</v>
      </c>
      <c r="H750" t="s">
        <v>131</v>
      </c>
      <c r="I750" s="3">
        <v>4685.1499999999996</v>
      </c>
      <c r="J750" s="4">
        <v>70</v>
      </c>
      <c r="K750" t="s">
        <v>26</v>
      </c>
      <c r="L750">
        <f t="shared" si="22"/>
        <v>4</v>
      </c>
      <c r="M750" t="str">
        <f t="shared" si="23"/>
        <v>0–17</v>
      </c>
    </row>
    <row r="751" spans="1:13">
      <c r="A751" t="s">
        <v>1370</v>
      </c>
      <c r="B751" t="s">
        <v>370</v>
      </c>
      <c r="C751">
        <v>30</v>
      </c>
      <c r="D751" t="s">
        <v>13</v>
      </c>
      <c r="E751" s="2">
        <v>45987</v>
      </c>
      <c r="F751" s="2">
        <v>45989</v>
      </c>
      <c r="G751" t="s">
        <v>24</v>
      </c>
      <c r="H751" t="s">
        <v>42</v>
      </c>
      <c r="I751" s="3">
        <v>4638.3500000000004</v>
      </c>
      <c r="J751" s="4">
        <v>90</v>
      </c>
      <c r="K751" t="s">
        <v>26</v>
      </c>
      <c r="L751">
        <f t="shared" si="22"/>
        <v>2</v>
      </c>
      <c r="M751" t="str">
        <f t="shared" si="23"/>
        <v>18–34</v>
      </c>
    </row>
    <row r="752" spans="1:13">
      <c r="A752" t="s">
        <v>1371</v>
      </c>
      <c r="B752" t="s">
        <v>18</v>
      </c>
      <c r="C752">
        <v>35</v>
      </c>
      <c r="D752" t="s">
        <v>19</v>
      </c>
      <c r="E752" s="2">
        <v>45454</v>
      </c>
      <c r="F752" s="2">
        <v>45457</v>
      </c>
      <c r="G752" t="s">
        <v>24</v>
      </c>
      <c r="H752" t="s">
        <v>334</v>
      </c>
      <c r="I752" s="3">
        <v>6181.48</v>
      </c>
      <c r="J752" s="4">
        <v>90</v>
      </c>
      <c r="K752" t="s">
        <v>16</v>
      </c>
      <c r="L752">
        <f t="shared" si="22"/>
        <v>3</v>
      </c>
      <c r="M752" t="str">
        <f t="shared" si="23"/>
        <v>35–49</v>
      </c>
    </row>
    <row r="753" spans="1:13">
      <c r="A753" t="s">
        <v>1372</v>
      </c>
      <c r="B753" t="s">
        <v>157</v>
      </c>
      <c r="C753">
        <v>66</v>
      </c>
      <c r="D753" t="s">
        <v>19</v>
      </c>
      <c r="E753" s="2">
        <v>45993</v>
      </c>
      <c r="F753" s="2">
        <v>45999</v>
      </c>
      <c r="G753" t="s">
        <v>71</v>
      </c>
      <c r="H753" t="s">
        <v>238</v>
      </c>
      <c r="I753" s="3">
        <v>10893.55</v>
      </c>
      <c r="J753" s="4">
        <v>80</v>
      </c>
      <c r="K753" t="s">
        <v>16</v>
      </c>
      <c r="L753">
        <f t="shared" si="22"/>
        <v>6</v>
      </c>
      <c r="M753" t="str">
        <f t="shared" si="23"/>
        <v>65+</v>
      </c>
    </row>
    <row r="754" spans="1:13">
      <c r="A754" t="s">
        <v>1373</v>
      </c>
      <c r="B754" t="s">
        <v>747</v>
      </c>
      <c r="C754">
        <v>70</v>
      </c>
      <c r="D754" t="s">
        <v>13</v>
      </c>
      <c r="E754" s="2">
        <v>45481</v>
      </c>
      <c r="F754" s="2">
        <v>45485</v>
      </c>
      <c r="G754" t="s">
        <v>32</v>
      </c>
      <c r="H754" t="s">
        <v>45</v>
      </c>
      <c r="I754" s="3">
        <v>5559.19</v>
      </c>
      <c r="J754" s="4">
        <v>100</v>
      </c>
      <c r="K754" t="s">
        <v>16</v>
      </c>
      <c r="L754">
        <f t="shared" si="22"/>
        <v>4</v>
      </c>
      <c r="M754" t="str">
        <f t="shared" si="23"/>
        <v>65+</v>
      </c>
    </row>
    <row r="755" spans="1:13">
      <c r="A755" t="s">
        <v>1374</v>
      </c>
      <c r="B755" t="s">
        <v>1375</v>
      </c>
      <c r="C755">
        <v>82</v>
      </c>
      <c r="D755" t="s">
        <v>19</v>
      </c>
      <c r="E755" s="2">
        <v>45867</v>
      </c>
      <c r="F755" s="2">
        <v>45873</v>
      </c>
      <c r="G755" t="s">
        <v>14</v>
      </c>
      <c r="H755" t="s">
        <v>166</v>
      </c>
      <c r="I755" s="3">
        <v>12777.22</v>
      </c>
      <c r="J755" s="4">
        <v>90</v>
      </c>
      <c r="K755" t="s">
        <v>16</v>
      </c>
      <c r="L755">
        <f t="shared" si="22"/>
        <v>6</v>
      </c>
      <c r="M755" t="str">
        <f t="shared" si="23"/>
        <v>65+</v>
      </c>
    </row>
    <row r="756" spans="1:13">
      <c r="A756" t="s">
        <v>1376</v>
      </c>
      <c r="B756" t="s">
        <v>1377</v>
      </c>
      <c r="C756">
        <v>28</v>
      </c>
      <c r="D756" t="s">
        <v>19</v>
      </c>
      <c r="E756" s="2">
        <v>45362</v>
      </c>
      <c r="F756" s="2">
        <v>45363</v>
      </c>
      <c r="G756" t="s">
        <v>24</v>
      </c>
      <c r="H756" t="s">
        <v>42</v>
      </c>
      <c r="I756" s="3">
        <v>824.72</v>
      </c>
      <c r="J756" s="4">
        <v>80</v>
      </c>
      <c r="K756" t="s">
        <v>16</v>
      </c>
      <c r="L756">
        <f t="shared" si="22"/>
        <v>1</v>
      </c>
      <c r="M756" t="str">
        <f t="shared" si="23"/>
        <v>18–34</v>
      </c>
    </row>
    <row r="757" spans="1:13">
      <c r="A757" t="s">
        <v>1378</v>
      </c>
      <c r="B757" t="s">
        <v>1012</v>
      </c>
      <c r="C757">
        <v>77</v>
      </c>
      <c r="D757" t="s">
        <v>13</v>
      </c>
      <c r="E757" s="2">
        <v>45744</v>
      </c>
      <c r="F757" s="2">
        <v>45748</v>
      </c>
      <c r="G757" t="s">
        <v>71</v>
      </c>
      <c r="H757" t="s">
        <v>195</v>
      </c>
      <c r="I757" s="3">
        <v>7892.83</v>
      </c>
      <c r="J757" s="4">
        <v>90</v>
      </c>
      <c r="K757" t="s">
        <v>16</v>
      </c>
      <c r="L757">
        <f t="shared" si="22"/>
        <v>4</v>
      </c>
      <c r="M757" t="str">
        <f t="shared" si="23"/>
        <v>65+</v>
      </c>
    </row>
    <row r="758" spans="1:13">
      <c r="A758" t="s">
        <v>1379</v>
      </c>
      <c r="B758" t="s">
        <v>914</v>
      </c>
      <c r="C758">
        <v>34</v>
      </c>
      <c r="D758" t="s">
        <v>19</v>
      </c>
      <c r="E758" s="2">
        <v>45537</v>
      </c>
      <c r="F758" s="2">
        <v>45539</v>
      </c>
      <c r="G758" t="s">
        <v>24</v>
      </c>
      <c r="H758" t="s">
        <v>83</v>
      </c>
      <c r="I758" s="3">
        <v>4965.79</v>
      </c>
      <c r="J758" s="4">
        <v>80</v>
      </c>
      <c r="K758" t="s">
        <v>16</v>
      </c>
      <c r="L758">
        <f t="shared" si="22"/>
        <v>2</v>
      </c>
      <c r="M758" t="str">
        <f t="shared" si="23"/>
        <v>18–34</v>
      </c>
    </row>
    <row r="759" spans="1:13">
      <c r="A759" t="s">
        <v>1380</v>
      </c>
      <c r="B759" t="s">
        <v>1381</v>
      </c>
      <c r="C759">
        <v>8</v>
      </c>
      <c r="D759" t="s">
        <v>19</v>
      </c>
      <c r="E759" s="2">
        <v>45370</v>
      </c>
      <c r="F759" s="2">
        <v>45372</v>
      </c>
      <c r="G759" t="s">
        <v>50</v>
      </c>
      <c r="H759" t="s">
        <v>124</v>
      </c>
      <c r="I759" s="3">
        <v>1380.95</v>
      </c>
      <c r="J759" s="4">
        <v>70</v>
      </c>
      <c r="K759" t="s">
        <v>16</v>
      </c>
      <c r="L759">
        <f t="shared" si="22"/>
        <v>2</v>
      </c>
      <c r="M759" t="str">
        <f t="shared" si="23"/>
        <v>0–17</v>
      </c>
    </row>
    <row r="760" spans="1:13">
      <c r="A760" t="s">
        <v>1382</v>
      </c>
      <c r="B760" t="s">
        <v>1383</v>
      </c>
      <c r="C760">
        <v>41</v>
      </c>
      <c r="D760" t="s">
        <v>13</v>
      </c>
      <c r="E760" s="2">
        <v>45484</v>
      </c>
      <c r="F760" s="2">
        <v>45485</v>
      </c>
      <c r="G760" t="s">
        <v>32</v>
      </c>
      <c r="H760" t="s">
        <v>54</v>
      </c>
      <c r="I760" s="3">
        <v>783.53</v>
      </c>
      <c r="J760" s="4">
        <v>50</v>
      </c>
      <c r="K760" t="s">
        <v>16</v>
      </c>
      <c r="L760">
        <f t="shared" si="22"/>
        <v>1</v>
      </c>
      <c r="M760" t="str">
        <f t="shared" si="23"/>
        <v>35–49</v>
      </c>
    </row>
    <row r="761" spans="1:13">
      <c r="A761" t="s">
        <v>1384</v>
      </c>
      <c r="B761" t="s">
        <v>687</v>
      </c>
      <c r="C761">
        <v>50</v>
      </c>
      <c r="D761" t="s">
        <v>13</v>
      </c>
      <c r="E761" s="2">
        <v>45702</v>
      </c>
      <c r="F761" s="2">
        <v>45703</v>
      </c>
      <c r="G761" t="s">
        <v>32</v>
      </c>
      <c r="H761" t="s">
        <v>36</v>
      </c>
      <c r="I761" s="3">
        <v>644.33000000000004</v>
      </c>
      <c r="J761" s="4">
        <v>50</v>
      </c>
      <c r="K761" t="s">
        <v>26</v>
      </c>
      <c r="L761">
        <f t="shared" si="22"/>
        <v>1</v>
      </c>
      <c r="M761" t="str">
        <f t="shared" si="23"/>
        <v>50–64</v>
      </c>
    </row>
    <row r="762" spans="1:13">
      <c r="A762" t="s">
        <v>1385</v>
      </c>
      <c r="B762" t="s">
        <v>1386</v>
      </c>
      <c r="C762">
        <v>64</v>
      </c>
      <c r="D762" t="s">
        <v>13</v>
      </c>
      <c r="E762" s="2">
        <v>45986</v>
      </c>
      <c r="F762" s="2">
        <v>45987</v>
      </c>
      <c r="G762" t="s">
        <v>24</v>
      </c>
      <c r="H762" t="s">
        <v>25</v>
      </c>
      <c r="I762" s="3">
        <v>803.78</v>
      </c>
      <c r="J762" s="4">
        <v>90</v>
      </c>
      <c r="K762" t="s">
        <v>16</v>
      </c>
      <c r="L762">
        <f t="shared" si="22"/>
        <v>1</v>
      </c>
      <c r="M762" t="str">
        <f t="shared" si="23"/>
        <v>50–64</v>
      </c>
    </row>
    <row r="763" spans="1:13">
      <c r="A763" t="s">
        <v>1387</v>
      </c>
      <c r="B763" t="s">
        <v>1388</v>
      </c>
      <c r="C763">
        <v>32</v>
      </c>
      <c r="D763" t="s">
        <v>13</v>
      </c>
      <c r="E763" s="2">
        <v>45909</v>
      </c>
      <c r="F763" s="2">
        <v>45916</v>
      </c>
      <c r="G763" t="s">
        <v>32</v>
      </c>
      <c r="H763" t="s">
        <v>88</v>
      </c>
      <c r="I763" s="3">
        <v>7286.69</v>
      </c>
      <c r="J763" s="4">
        <v>80</v>
      </c>
      <c r="K763" t="s">
        <v>16</v>
      </c>
      <c r="L763">
        <f t="shared" si="22"/>
        <v>7</v>
      </c>
      <c r="M763" t="str">
        <f t="shared" si="23"/>
        <v>18–34</v>
      </c>
    </row>
    <row r="764" spans="1:13">
      <c r="A764" t="s">
        <v>1389</v>
      </c>
      <c r="B764" t="s">
        <v>1390</v>
      </c>
      <c r="C764">
        <v>47</v>
      </c>
      <c r="D764" t="s">
        <v>19</v>
      </c>
      <c r="E764" s="2">
        <v>45597</v>
      </c>
      <c r="F764" s="2">
        <v>45600</v>
      </c>
      <c r="G764" t="s">
        <v>24</v>
      </c>
      <c r="H764" t="s">
        <v>334</v>
      </c>
      <c r="I764" s="3">
        <v>6520.03</v>
      </c>
      <c r="J764" s="4">
        <v>80</v>
      </c>
      <c r="K764" t="s">
        <v>16</v>
      </c>
      <c r="L764">
        <f t="shared" si="22"/>
        <v>3</v>
      </c>
      <c r="M764" t="str">
        <f t="shared" si="23"/>
        <v>35–49</v>
      </c>
    </row>
    <row r="765" spans="1:13">
      <c r="A765" t="s">
        <v>1391</v>
      </c>
      <c r="B765" t="s">
        <v>107</v>
      </c>
      <c r="C765">
        <v>46</v>
      </c>
      <c r="D765" t="s">
        <v>19</v>
      </c>
      <c r="E765" s="2">
        <v>45992</v>
      </c>
      <c r="F765" s="2">
        <v>45993</v>
      </c>
      <c r="G765" t="s">
        <v>32</v>
      </c>
      <c r="H765" t="s">
        <v>36</v>
      </c>
      <c r="I765" s="3">
        <v>1101.07</v>
      </c>
      <c r="J765" s="4">
        <v>70</v>
      </c>
      <c r="K765" t="s">
        <v>21</v>
      </c>
      <c r="L765">
        <f t="shared" si="22"/>
        <v>1</v>
      </c>
      <c r="M765" t="str">
        <f t="shared" si="23"/>
        <v>35–49</v>
      </c>
    </row>
    <row r="766" spans="1:13">
      <c r="A766" t="s">
        <v>1392</v>
      </c>
      <c r="B766" t="s">
        <v>524</v>
      </c>
      <c r="C766">
        <v>48</v>
      </c>
      <c r="D766" t="s">
        <v>19</v>
      </c>
      <c r="E766" s="2">
        <v>45904</v>
      </c>
      <c r="F766" s="2">
        <v>45914</v>
      </c>
      <c r="G766" t="s">
        <v>14</v>
      </c>
      <c r="H766" t="s">
        <v>20</v>
      </c>
      <c r="I766" s="3">
        <v>15930.98</v>
      </c>
      <c r="J766" s="4">
        <v>80</v>
      </c>
      <c r="K766" t="s">
        <v>16</v>
      </c>
      <c r="L766">
        <f t="shared" si="22"/>
        <v>10</v>
      </c>
      <c r="M766" t="str">
        <f t="shared" si="23"/>
        <v>35–49</v>
      </c>
    </row>
    <row r="767" spans="1:13">
      <c r="A767" t="s">
        <v>1393</v>
      </c>
      <c r="B767" t="s">
        <v>1394</v>
      </c>
      <c r="C767">
        <v>47</v>
      </c>
      <c r="D767" t="s">
        <v>13</v>
      </c>
      <c r="E767" s="2">
        <v>45557</v>
      </c>
      <c r="F767" s="2">
        <v>45564</v>
      </c>
      <c r="G767" t="s">
        <v>32</v>
      </c>
      <c r="H767" t="s">
        <v>115</v>
      </c>
      <c r="I767" s="3">
        <v>6394.95</v>
      </c>
      <c r="J767" s="4">
        <v>100</v>
      </c>
      <c r="K767" t="s">
        <v>26</v>
      </c>
      <c r="L767">
        <f t="shared" si="22"/>
        <v>7</v>
      </c>
      <c r="M767" t="str">
        <f t="shared" si="23"/>
        <v>35–49</v>
      </c>
    </row>
    <row r="768" spans="1:13">
      <c r="A768" t="s">
        <v>1395</v>
      </c>
      <c r="B768" t="s">
        <v>142</v>
      </c>
      <c r="C768">
        <v>18</v>
      </c>
      <c r="D768" t="s">
        <v>13</v>
      </c>
      <c r="E768" s="2">
        <v>45292</v>
      </c>
      <c r="F768" s="2">
        <v>45294</v>
      </c>
      <c r="G768" t="s">
        <v>32</v>
      </c>
      <c r="H768" t="s">
        <v>45</v>
      </c>
      <c r="I768" s="3">
        <v>2803.03</v>
      </c>
      <c r="J768" s="4">
        <v>90</v>
      </c>
      <c r="K768" t="s">
        <v>16</v>
      </c>
      <c r="L768">
        <f t="shared" si="22"/>
        <v>2</v>
      </c>
      <c r="M768" t="str">
        <f t="shared" si="23"/>
        <v>18–34</v>
      </c>
    </row>
    <row r="769" spans="1:13">
      <c r="A769" t="s">
        <v>1396</v>
      </c>
      <c r="B769" t="s">
        <v>1027</v>
      </c>
      <c r="C769">
        <v>41</v>
      </c>
      <c r="D769" t="s">
        <v>13</v>
      </c>
      <c r="E769" s="2">
        <v>45316</v>
      </c>
      <c r="F769" s="2">
        <v>45319</v>
      </c>
      <c r="G769" t="s">
        <v>71</v>
      </c>
      <c r="H769" t="s">
        <v>72</v>
      </c>
      <c r="I769" s="3">
        <v>4689.5200000000004</v>
      </c>
      <c r="J769" s="4">
        <v>80</v>
      </c>
      <c r="K769" t="s">
        <v>16</v>
      </c>
      <c r="L769">
        <f t="shared" si="22"/>
        <v>3</v>
      </c>
      <c r="M769" t="str">
        <f t="shared" si="23"/>
        <v>35–49</v>
      </c>
    </row>
    <row r="770" spans="1:13">
      <c r="A770" t="s">
        <v>1397</v>
      </c>
      <c r="B770" t="s">
        <v>1398</v>
      </c>
      <c r="C770">
        <v>67</v>
      </c>
      <c r="D770" t="s">
        <v>19</v>
      </c>
      <c r="E770" s="2">
        <v>45514</v>
      </c>
      <c r="F770" s="2">
        <v>45524</v>
      </c>
      <c r="G770" t="s">
        <v>71</v>
      </c>
      <c r="H770" t="s">
        <v>296</v>
      </c>
      <c r="I770" s="3">
        <v>13724.66</v>
      </c>
      <c r="J770" s="4">
        <v>80</v>
      </c>
      <c r="K770" t="s">
        <v>16</v>
      </c>
      <c r="L770">
        <f t="shared" si="22"/>
        <v>10</v>
      </c>
      <c r="M770" t="str">
        <f t="shared" si="23"/>
        <v>65+</v>
      </c>
    </row>
    <row r="771" spans="1:13">
      <c r="A771" t="s">
        <v>1399</v>
      </c>
      <c r="B771" t="s">
        <v>1400</v>
      </c>
      <c r="C771">
        <v>74</v>
      </c>
      <c r="D771" t="s">
        <v>13</v>
      </c>
      <c r="E771" s="2">
        <v>45708</v>
      </c>
      <c r="F771" s="2">
        <v>45712</v>
      </c>
      <c r="G771" t="s">
        <v>14</v>
      </c>
      <c r="H771" t="s">
        <v>39</v>
      </c>
      <c r="I771" s="3">
        <v>9130.48</v>
      </c>
      <c r="J771" s="4">
        <v>60</v>
      </c>
      <c r="K771" t="s">
        <v>26</v>
      </c>
      <c r="L771">
        <f t="shared" ref="L771:L834" si="24">F771-E771</f>
        <v>4</v>
      </c>
      <c r="M771" t="str">
        <f t="shared" ref="M771:M834" si="25">IF(C771&lt;=17,"0–17",IF(C771&lt;=34,"18–34",IF(C771&lt;=49,"35–49",IF(C771&lt;=64,"50–64","65+"))))</f>
        <v>65+</v>
      </c>
    </row>
    <row r="772" spans="1:13">
      <c r="A772" t="s">
        <v>1401</v>
      </c>
      <c r="B772" t="s">
        <v>1207</v>
      </c>
      <c r="C772">
        <v>32</v>
      </c>
      <c r="D772" t="s">
        <v>19</v>
      </c>
      <c r="E772" s="2">
        <v>45402</v>
      </c>
      <c r="F772" s="2">
        <v>45403</v>
      </c>
      <c r="G772" t="s">
        <v>24</v>
      </c>
      <c r="H772" t="s">
        <v>334</v>
      </c>
      <c r="I772" s="3">
        <v>2383.8000000000002</v>
      </c>
      <c r="J772" s="4">
        <v>70</v>
      </c>
      <c r="K772" t="s">
        <v>16</v>
      </c>
      <c r="L772">
        <f t="shared" si="24"/>
        <v>1</v>
      </c>
      <c r="M772" t="str">
        <f t="shared" si="25"/>
        <v>18–34</v>
      </c>
    </row>
    <row r="773" spans="1:13">
      <c r="A773" t="s">
        <v>1402</v>
      </c>
      <c r="B773" t="s">
        <v>1403</v>
      </c>
      <c r="C773">
        <v>51</v>
      </c>
      <c r="D773" t="s">
        <v>19</v>
      </c>
      <c r="E773" s="2">
        <v>45297</v>
      </c>
      <c r="F773" s="2">
        <v>45300</v>
      </c>
      <c r="G773" t="s">
        <v>32</v>
      </c>
      <c r="H773" t="s">
        <v>115</v>
      </c>
      <c r="I773" s="3">
        <v>1901.75</v>
      </c>
      <c r="J773" s="4">
        <v>70</v>
      </c>
      <c r="K773" t="s">
        <v>21</v>
      </c>
      <c r="L773">
        <f t="shared" si="24"/>
        <v>3</v>
      </c>
      <c r="M773" t="str">
        <f t="shared" si="25"/>
        <v>50–64</v>
      </c>
    </row>
    <row r="774" spans="1:13">
      <c r="A774" t="s">
        <v>1404</v>
      </c>
      <c r="B774" t="s">
        <v>847</v>
      </c>
      <c r="C774">
        <v>55</v>
      </c>
      <c r="D774" t="s">
        <v>13</v>
      </c>
      <c r="E774" s="2">
        <v>45832</v>
      </c>
      <c r="F774" s="2">
        <v>45835</v>
      </c>
      <c r="G774" t="s">
        <v>24</v>
      </c>
      <c r="H774" t="s">
        <v>29</v>
      </c>
      <c r="I774" s="3">
        <v>5558.16</v>
      </c>
      <c r="J774" s="4">
        <v>60</v>
      </c>
      <c r="K774" t="s">
        <v>16</v>
      </c>
      <c r="L774">
        <f t="shared" si="24"/>
        <v>3</v>
      </c>
      <c r="M774" t="str">
        <f t="shared" si="25"/>
        <v>50–64</v>
      </c>
    </row>
    <row r="775" spans="1:13">
      <c r="A775" t="s">
        <v>1405</v>
      </c>
      <c r="B775" t="s">
        <v>1406</v>
      </c>
      <c r="C775">
        <v>34</v>
      </c>
      <c r="D775" t="s">
        <v>13</v>
      </c>
      <c r="E775" s="2">
        <v>45805</v>
      </c>
      <c r="F775" s="2">
        <v>45812</v>
      </c>
      <c r="G775" t="s">
        <v>32</v>
      </c>
      <c r="H775" t="s">
        <v>88</v>
      </c>
      <c r="I775" s="3">
        <v>4500.7</v>
      </c>
      <c r="J775" s="4">
        <v>90</v>
      </c>
      <c r="K775" t="s">
        <v>16</v>
      </c>
      <c r="L775">
        <f t="shared" si="24"/>
        <v>7</v>
      </c>
      <c r="M775" t="str">
        <f t="shared" si="25"/>
        <v>18–34</v>
      </c>
    </row>
    <row r="776" spans="1:13">
      <c r="A776" t="s">
        <v>1407</v>
      </c>
      <c r="B776" t="s">
        <v>1408</v>
      </c>
      <c r="C776">
        <v>81</v>
      </c>
      <c r="D776" t="s">
        <v>13</v>
      </c>
      <c r="E776" s="2">
        <v>45699</v>
      </c>
      <c r="F776" s="2">
        <v>45704</v>
      </c>
      <c r="G776" t="s">
        <v>14</v>
      </c>
      <c r="H776" t="s">
        <v>39</v>
      </c>
      <c r="I776" s="3">
        <v>9036.9</v>
      </c>
      <c r="J776" s="4">
        <v>50</v>
      </c>
      <c r="K776" t="s">
        <v>21</v>
      </c>
      <c r="L776">
        <f t="shared" si="24"/>
        <v>5</v>
      </c>
      <c r="M776" t="str">
        <f t="shared" si="25"/>
        <v>65+</v>
      </c>
    </row>
    <row r="777" spans="1:13">
      <c r="A777" t="s">
        <v>1409</v>
      </c>
      <c r="B777" t="s">
        <v>1410</v>
      </c>
      <c r="C777">
        <v>83</v>
      </c>
      <c r="D777" t="s">
        <v>13</v>
      </c>
      <c r="E777" s="2">
        <v>45827</v>
      </c>
      <c r="F777" s="2">
        <v>45832</v>
      </c>
      <c r="G777" t="s">
        <v>32</v>
      </c>
      <c r="H777" t="s">
        <v>235</v>
      </c>
      <c r="I777" s="3">
        <v>4404.2299999999996</v>
      </c>
      <c r="J777" s="4">
        <v>50</v>
      </c>
      <c r="K777" t="s">
        <v>26</v>
      </c>
      <c r="L777">
        <f t="shared" si="24"/>
        <v>5</v>
      </c>
      <c r="M777" t="str">
        <f t="shared" si="25"/>
        <v>65+</v>
      </c>
    </row>
    <row r="778" spans="1:13">
      <c r="A778" t="s">
        <v>1411</v>
      </c>
      <c r="B778" t="s">
        <v>1116</v>
      </c>
      <c r="C778">
        <v>51</v>
      </c>
      <c r="D778" t="s">
        <v>13</v>
      </c>
      <c r="E778" s="2">
        <v>45465</v>
      </c>
      <c r="F778" s="2">
        <v>45470</v>
      </c>
      <c r="G778" t="s">
        <v>32</v>
      </c>
      <c r="H778" t="s">
        <v>115</v>
      </c>
      <c r="I778" s="3">
        <v>4907.47</v>
      </c>
      <c r="J778" s="4">
        <v>80</v>
      </c>
      <c r="K778" t="s">
        <v>16</v>
      </c>
      <c r="L778">
        <f t="shared" si="24"/>
        <v>5</v>
      </c>
      <c r="M778" t="str">
        <f t="shared" si="25"/>
        <v>50–64</v>
      </c>
    </row>
    <row r="779" spans="1:13">
      <c r="A779" t="s">
        <v>1412</v>
      </c>
      <c r="B779" t="s">
        <v>1413</v>
      </c>
      <c r="C779">
        <v>71</v>
      </c>
      <c r="D779" t="s">
        <v>13</v>
      </c>
      <c r="E779" s="2">
        <v>45731</v>
      </c>
      <c r="F779" s="2">
        <v>45741</v>
      </c>
      <c r="G779" t="s">
        <v>14</v>
      </c>
      <c r="H779" t="s">
        <v>15</v>
      </c>
      <c r="I779" s="3">
        <v>26768.21</v>
      </c>
      <c r="J779" s="4">
        <v>100</v>
      </c>
      <c r="K779" t="s">
        <v>26</v>
      </c>
      <c r="L779">
        <f t="shared" si="24"/>
        <v>10</v>
      </c>
      <c r="M779" t="str">
        <f t="shared" si="25"/>
        <v>65+</v>
      </c>
    </row>
    <row r="780" spans="1:13">
      <c r="A780" t="s">
        <v>1414</v>
      </c>
      <c r="B780" t="s">
        <v>1415</v>
      </c>
      <c r="C780">
        <v>85</v>
      </c>
      <c r="D780" t="s">
        <v>19</v>
      </c>
      <c r="E780" s="2">
        <v>45811</v>
      </c>
      <c r="F780" s="2">
        <v>45815</v>
      </c>
      <c r="G780" t="s">
        <v>32</v>
      </c>
      <c r="H780" t="s">
        <v>45</v>
      </c>
      <c r="I780" s="3">
        <v>2615.96</v>
      </c>
      <c r="J780" s="4">
        <v>100</v>
      </c>
      <c r="K780" t="s">
        <v>16</v>
      </c>
      <c r="L780">
        <f t="shared" si="24"/>
        <v>4</v>
      </c>
      <c r="M780" t="str">
        <f t="shared" si="25"/>
        <v>65+</v>
      </c>
    </row>
    <row r="781" spans="1:13">
      <c r="A781" t="s">
        <v>1416</v>
      </c>
      <c r="B781" t="s">
        <v>1417</v>
      </c>
      <c r="C781">
        <v>74</v>
      </c>
      <c r="D781" t="s">
        <v>13</v>
      </c>
      <c r="E781" s="2">
        <v>46008</v>
      </c>
      <c r="F781" s="2">
        <v>46014</v>
      </c>
      <c r="G781" t="s">
        <v>32</v>
      </c>
      <c r="H781" t="s">
        <v>235</v>
      </c>
      <c r="I781" s="3">
        <v>7371.54</v>
      </c>
      <c r="J781" s="4">
        <v>70</v>
      </c>
      <c r="K781" t="s">
        <v>26</v>
      </c>
      <c r="L781">
        <f t="shared" si="24"/>
        <v>6</v>
      </c>
      <c r="M781" t="str">
        <f t="shared" si="25"/>
        <v>65+</v>
      </c>
    </row>
    <row r="782" spans="1:13">
      <c r="A782" t="s">
        <v>1418</v>
      </c>
      <c r="B782" t="s">
        <v>1419</v>
      </c>
      <c r="C782">
        <v>74</v>
      </c>
      <c r="D782" t="s">
        <v>19</v>
      </c>
      <c r="E782" s="2">
        <v>45657</v>
      </c>
      <c r="F782" s="2">
        <v>45658</v>
      </c>
      <c r="G782" t="s">
        <v>24</v>
      </c>
      <c r="H782" t="s">
        <v>205</v>
      </c>
      <c r="I782" s="3">
        <v>1984.12</v>
      </c>
      <c r="J782" s="4">
        <v>70</v>
      </c>
      <c r="K782" t="s">
        <v>21</v>
      </c>
      <c r="L782">
        <f t="shared" si="24"/>
        <v>1</v>
      </c>
      <c r="M782" t="str">
        <f t="shared" si="25"/>
        <v>65+</v>
      </c>
    </row>
    <row r="783" spans="1:13">
      <c r="A783" t="s">
        <v>1420</v>
      </c>
      <c r="B783" t="s">
        <v>1183</v>
      </c>
      <c r="C783">
        <v>42</v>
      </c>
      <c r="D783" t="s">
        <v>19</v>
      </c>
      <c r="E783" s="2">
        <v>45755</v>
      </c>
      <c r="F783" s="2">
        <v>45761</v>
      </c>
      <c r="G783" t="s">
        <v>71</v>
      </c>
      <c r="H783" t="s">
        <v>95</v>
      </c>
      <c r="I783" s="3">
        <v>15265.35</v>
      </c>
      <c r="J783" s="4">
        <v>100</v>
      </c>
      <c r="K783" t="s">
        <v>16</v>
      </c>
      <c r="L783">
        <f t="shared" si="24"/>
        <v>6</v>
      </c>
      <c r="M783" t="str">
        <f t="shared" si="25"/>
        <v>35–49</v>
      </c>
    </row>
    <row r="784" spans="1:13">
      <c r="A784" t="s">
        <v>1421</v>
      </c>
      <c r="B784" t="s">
        <v>1422</v>
      </c>
      <c r="C784">
        <v>43</v>
      </c>
      <c r="D784" t="s">
        <v>13</v>
      </c>
      <c r="E784" s="2">
        <v>45574</v>
      </c>
      <c r="F784" s="2">
        <v>45585</v>
      </c>
      <c r="G784" t="s">
        <v>71</v>
      </c>
      <c r="H784" t="s">
        <v>296</v>
      </c>
      <c r="I784" s="3">
        <v>24895.77</v>
      </c>
      <c r="J784" s="4">
        <v>80</v>
      </c>
      <c r="K784" t="s">
        <v>16</v>
      </c>
      <c r="L784">
        <f t="shared" si="24"/>
        <v>11</v>
      </c>
      <c r="M784" t="str">
        <f t="shared" si="25"/>
        <v>35–49</v>
      </c>
    </row>
    <row r="785" spans="1:13">
      <c r="A785" t="s">
        <v>1423</v>
      </c>
      <c r="B785" t="s">
        <v>1136</v>
      </c>
      <c r="C785">
        <v>43</v>
      </c>
      <c r="D785" t="s">
        <v>19</v>
      </c>
      <c r="E785" s="2">
        <v>45743</v>
      </c>
      <c r="F785" s="2">
        <v>45747</v>
      </c>
      <c r="G785" t="s">
        <v>32</v>
      </c>
      <c r="H785" t="s">
        <v>36</v>
      </c>
      <c r="I785" s="3">
        <v>2392.67</v>
      </c>
      <c r="J785" s="4">
        <v>60</v>
      </c>
      <c r="K785" t="s">
        <v>26</v>
      </c>
      <c r="L785">
        <f t="shared" si="24"/>
        <v>4</v>
      </c>
      <c r="M785" t="str">
        <f t="shared" si="25"/>
        <v>35–49</v>
      </c>
    </row>
    <row r="786" spans="1:13">
      <c r="A786" t="s">
        <v>1424</v>
      </c>
      <c r="B786" t="s">
        <v>209</v>
      </c>
      <c r="C786">
        <v>23</v>
      </c>
      <c r="D786" t="s">
        <v>19</v>
      </c>
      <c r="E786" s="2">
        <v>45634</v>
      </c>
      <c r="F786" s="2">
        <v>45635</v>
      </c>
      <c r="G786" t="s">
        <v>32</v>
      </c>
      <c r="H786" t="s">
        <v>115</v>
      </c>
      <c r="I786" s="3">
        <v>1000.43</v>
      </c>
      <c r="J786" s="4">
        <v>90</v>
      </c>
      <c r="K786" t="s">
        <v>16</v>
      </c>
      <c r="L786">
        <f t="shared" si="24"/>
        <v>1</v>
      </c>
      <c r="M786" t="str">
        <f t="shared" si="25"/>
        <v>18–34</v>
      </c>
    </row>
    <row r="787" spans="1:13">
      <c r="A787" t="s">
        <v>1425</v>
      </c>
      <c r="B787" t="s">
        <v>554</v>
      </c>
      <c r="C787">
        <v>58</v>
      </c>
      <c r="D787" t="s">
        <v>13</v>
      </c>
      <c r="E787" s="2">
        <v>45709</v>
      </c>
      <c r="F787" s="2">
        <v>45713</v>
      </c>
      <c r="G787" t="s">
        <v>71</v>
      </c>
      <c r="H787" t="s">
        <v>238</v>
      </c>
      <c r="I787" s="3">
        <v>10299</v>
      </c>
      <c r="J787" s="4">
        <v>90</v>
      </c>
      <c r="K787" t="s">
        <v>16</v>
      </c>
      <c r="L787">
        <f t="shared" si="24"/>
        <v>4</v>
      </c>
      <c r="M787" t="str">
        <f t="shared" si="25"/>
        <v>50–64</v>
      </c>
    </row>
    <row r="788" spans="1:13">
      <c r="A788" t="s">
        <v>1426</v>
      </c>
      <c r="B788" t="s">
        <v>619</v>
      </c>
      <c r="C788">
        <v>58</v>
      </c>
      <c r="D788" t="s">
        <v>19</v>
      </c>
      <c r="E788" s="2">
        <v>45574</v>
      </c>
      <c r="F788" s="2">
        <v>45584</v>
      </c>
      <c r="G788" t="s">
        <v>71</v>
      </c>
      <c r="H788" t="s">
        <v>158</v>
      </c>
      <c r="I788" s="3">
        <v>25129.38</v>
      </c>
      <c r="J788" s="4">
        <v>90</v>
      </c>
      <c r="K788" t="s">
        <v>16</v>
      </c>
      <c r="L788">
        <f t="shared" si="24"/>
        <v>10</v>
      </c>
      <c r="M788" t="str">
        <f t="shared" si="25"/>
        <v>50–64</v>
      </c>
    </row>
    <row r="789" spans="1:13">
      <c r="A789" t="s">
        <v>1427</v>
      </c>
      <c r="B789" t="s">
        <v>1428</v>
      </c>
      <c r="C789">
        <v>9</v>
      </c>
      <c r="D789" t="s">
        <v>13</v>
      </c>
      <c r="E789" s="2">
        <v>45418</v>
      </c>
      <c r="F789" s="2">
        <v>45423</v>
      </c>
      <c r="G789" t="s">
        <v>50</v>
      </c>
      <c r="H789" t="s">
        <v>118</v>
      </c>
      <c r="I789" s="3">
        <v>6735.15</v>
      </c>
      <c r="J789" s="4">
        <v>100</v>
      </c>
      <c r="K789" t="s">
        <v>26</v>
      </c>
      <c r="L789">
        <f t="shared" si="24"/>
        <v>5</v>
      </c>
      <c r="M789" t="str">
        <f t="shared" si="25"/>
        <v>0–17</v>
      </c>
    </row>
    <row r="790" spans="1:13">
      <c r="A790" t="s">
        <v>1429</v>
      </c>
      <c r="B790" t="s">
        <v>836</v>
      </c>
      <c r="C790">
        <v>62</v>
      </c>
      <c r="D790" t="s">
        <v>19</v>
      </c>
      <c r="E790" s="2">
        <v>45530</v>
      </c>
      <c r="F790" s="2">
        <v>45540</v>
      </c>
      <c r="G790" t="s">
        <v>14</v>
      </c>
      <c r="H790" t="s">
        <v>112</v>
      </c>
      <c r="I790" s="3">
        <v>20130.14</v>
      </c>
      <c r="J790" s="4">
        <v>70</v>
      </c>
      <c r="K790" t="s">
        <v>16</v>
      </c>
      <c r="L790">
        <f t="shared" si="24"/>
        <v>10</v>
      </c>
      <c r="M790" t="str">
        <f t="shared" si="25"/>
        <v>50–64</v>
      </c>
    </row>
    <row r="791" spans="1:13">
      <c r="A791" t="s">
        <v>1430</v>
      </c>
      <c r="B791" t="s">
        <v>1431</v>
      </c>
      <c r="C791">
        <v>3</v>
      </c>
      <c r="D791" t="s">
        <v>13</v>
      </c>
      <c r="E791" s="2">
        <v>45349</v>
      </c>
      <c r="F791" s="2">
        <v>45350</v>
      </c>
      <c r="G791" t="s">
        <v>50</v>
      </c>
      <c r="H791" t="s">
        <v>379</v>
      </c>
      <c r="I791" s="3">
        <v>1138.69</v>
      </c>
      <c r="J791" s="4">
        <v>80</v>
      </c>
      <c r="K791" t="s">
        <v>16</v>
      </c>
      <c r="L791">
        <f t="shared" si="24"/>
        <v>1</v>
      </c>
      <c r="M791" t="str">
        <f t="shared" si="25"/>
        <v>0–17</v>
      </c>
    </row>
    <row r="792" spans="1:13">
      <c r="A792" t="s">
        <v>1432</v>
      </c>
      <c r="B792" t="s">
        <v>567</v>
      </c>
      <c r="C792">
        <v>75</v>
      </c>
      <c r="D792" t="s">
        <v>13</v>
      </c>
      <c r="E792" s="2">
        <v>45919</v>
      </c>
      <c r="F792" s="2">
        <v>45932</v>
      </c>
      <c r="G792" t="s">
        <v>61</v>
      </c>
      <c r="H792" t="s">
        <v>98</v>
      </c>
      <c r="I792" s="3">
        <v>17304.05</v>
      </c>
      <c r="J792" s="4">
        <v>80</v>
      </c>
      <c r="K792" t="s">
        <v>16</v>
      </c>
      <c r="L792">
        <f t="shared" si="24"/>
        <v>13</v>
      </c>
      <c r="M792" t="str">
        <f t="shared" si="25"/>
        <v>65+</v>
      </c>
    </row>
    <row r="793" spans="1:13">
      <c r="A793" t="s">
        <v>1433</v>
      </c>
      <c r="B793" t="s">
        <v>1434</v>
      </c>
      <c r="C793">
        <v>66</v>
      </c>
      <c r="D793" t="s">
        <v>19</v>
      </c>
      <c r="E793" s="2">
        <v>45666</v>
      </c>
      <c r="F793" s="2">
        <v>45670</v>
      </c>
      <c r="G793" t="s">
        <v>32</v>
      </c>
      <c r="H793" t="s">
        <v>235</v>
      </c>
      <c r="I793" s="3">
        <v>2563.36</v>
      </c>
      <c r="J793" s="4">
        <v>70</v>
      </c>
      <c r="K793" t="s">
        <v>16</v>
      </c>
      <c r="L793">
        <f t="shared" si="24"/>
        <v>4</v>
      </c>
      <c r="M793" t="str">
        <f t="shared" si="25"/>
        <v>65+</v>
      </c>
    </row>
    <row r="794" spans="1:13">
      <c r="A794" t="s">
        <v>1435</v>
      </c>
      <c r="B794" t="s">
        <v>1023</v>
      </c>
      <c r="C794">
        <v>73</v>
      </c>
      <c r="D794" t="s">
        <v>19</v>
      </c>
      <c r="E794" s="2">
        <v>45886</v>
      </c>
      <c r="F794" s="2">
        <v>45892</v>
      </c>
      <c r="G794" t="s">
        <v>32</v>
      </c>
      <c r="H794" t="s">
        <v>33</v>
      </c>
      <c r="I794" s="3">
        <v>5938.64</v>
      </c>
      <c r="J794" s="4">
        <v>80</v>
      </c>
      <c r="K794" t="s">
        <v>16</v>
      </c>
      <c r="L794">
        <f t="shared" si="24"/>
        <v>6</v>
      </c>
      <c r="M794" t="str">
        <f t="shared" si="25"/>
        <v>65+</v>
      </c>
    </row>
    <row r="795" spans="1:13">
      <c r="A795" t="s">
        <v>1436</v>
      </c>
      <c r="B795" t="s">
        <v>631</v>
      </c>
      <c r="C795">
        <v>58</v>
      </c>
      <c r="D795" t="s">
        <v>13</v>
      </c>
      <c r="E795" s="2">
        <v>45763</v>
      </c>
      <c r="F795" s="2">
        <v>45766</v>
      </c>
      <c r="G795" t="s">
        <v>61</v>
      </c>
      <c r="H795" t="s">
        <v>75</v>
      </c>
      <c r="I795" s="3">
        <v>6946.39</v>
      </c>
      <c r="J795" s="4">
        <v>90</v>
      </c>
      <c r="K795" t="s">
        <v>16</v>
      </c>
      <c r="L795">
        <f t="shared" si="24"/>
        <v>3</v>
      </c>
      <c r="M795" t="str">
        <f t="shared" si="25"/>
        <v>50–64</v>
      </c>
    </row>
    <row r="796" spans="1:13">
      <c r="A796" t="s">
        <v>1437</v>
      </c>
      <c r="B796" t="s">
        <v>1438</v>
      </c>
      <c r="C796">
        <v>32</v>
      </c>
      <c r="D796" t="s">
        <v>19</v>
      </c>
      <c r="E796" s="2">
        <v>45812</v>
      </c>
      <c r="F796" s="2">
        <v>45823</v>
      </c>
      <c r="G796" t="s">
        <v>71</v>
      </c>
      <c r="H796" t="s">
        <v>195</v>
      </c>
      <c r="I796" s="3">
        <v>15560.38</v>
      </c>
      <c r="J796" s="4">
        <v>80</v>
      </c>
      <c r="K796" t="s">
        <v>16</v>
      </c>
      <c r="L796">
        <f t="shared" si="24"/>
        <v>11</v>
      </c>
      <c r="M796" t="str">
        <f t="shared" si="25"/>
        <v>18–34</v>
      </c>
    </row>
    <row r="797" spans="1:13">
      <c r="A797" t="s">
        <v>1439</v>
      </c>
      <c r="B797" t="s">
        <v>1440</v>
      </c>
      <c r="C797">
        <v>14</v>
      </c>
      <c r="D797" t="s">
        <v>13</v>
      </c>
      <c r="E797" s="2">
        <v>45746</v>
      </c>
      <c r="F797" s="2">
        <v>45750</v>
      </c>
      <c r="G797" t="s">
        <v>50</v>
      </c>
      <c r="H797" t="s">
        <v>118</v>
      </c>
      <c r="I797" s="3">
        <v>6667.93</v>
      </c>
      <c r="J797" s="4">
        <v>90</v>
      </c>
      <c r="K797" t="s">
        <v>21</v>
      </c>
      <c r="L797">
        <f t="shared" si="24"/>
        <v>4</v>
      </c>
      <c r="M797" t="str">
        <f t="shared" si="25"/>
        <v>0–17</v>
      </c>
    </row>
    <row r="798" spans="1:13">
      <c r="A798" t="s">
        <v>1441</v>
      </c>
      <c r="B798" t="s">
        <v>1313</v>
      </c>
      <c r="C798">
        <v>26</v>
      </c>
      <c r="D798" t="s">
        <v>13</v>
      </c>
      <c r="E798" s="2">
        <v>45305</v>
      </c>
      <c r="F798" s="2">
        <v>45307</v>
      </c>
      <c r="G798" t="s">
        <v>24</v>
      </c>
      <c r="H798" t="s">
        <v>205</v>
      </c>
      <c r="I798" s="3">
        <v>3800.12</v>
      </c>
      <c r="J798" s="4">
        <v>70</v>
      </c>
      <c r="K798" t="s">
        <v>16</v>
      </c>
      <c r="L798">
        <f t="shared" si="24"/>
        <v>2</v>
      </c>
      <c r="M798" t="str">
        <f t="shared" si="25"/>
        <v>18–34</v>
      </c>
    </row>
    <row r="799" spans="1:13">
      <c r="A799" t="s">
        <v>1442</v>
      </c>
      <c r="B799" t="s">
        <v>1443</v>
      </c>
      <c r="C799">
        <v>25</v>
      </c>
      <c r="D799" t="s">
        <v>19</v>
      </c>
      <c r="E799" s="2">
        <v>45344</v>
      </c>
      <c r="F799" s="2">
        <v>45345</v>
      </c>
      <c r="G799" t="s">
        <v>24</v>
      </c>
      <c r="H799" t="s">
        <v>42</v>
      </c>
      <c r="I799" s="3">
        <v>1697.82</v>
      </c>
      <c r="J799" s="4">
        <v>80</v>
      </c>
      <c r="K799" t="s">
        <v>16</v>
      </c>
      <c r="L799">
        <f t="shared" si="24"/>
        <v>1</v>
      </c>
      <c r="M799" t="str">
        <f t="shared" si="25"/>
        <v>18–34</v>
      </c>
    </row>
    <row r="800" spans="1:13">
      <c r="A800" t="s">
        <v>1444</v>
      </c>
      <c r="B800" t="s">
        <v>1233</v>
      </c>
      <c r="C800">
        <v>44</v>
      </c>
      <c r="D800" t="s">
        <v>13</v>
      </c>
      <c r="E800" s="2">
        <v>45980</v>
      </c>
      <c r="F800" s="2">
        <v>45983</v>
      </c>
      <c r="G800" t="s">
        <v>14</v>
      </c>
      <c r="H800" t="s">
        <v>166</v>
      </c>
      <c r="I800" s="3">
        <v>8833.89</v>
      </c>
      <c r="J800" s="4">
        <v>100</v>
      </c>
      <c r="K800" t="s">
        <v>16</v>
      </c>
      <c r="L800">
        <f t="shared" si="24"/>
        <v>3</v>
      </c>
      <c r="M800" t="str">
        <f t="shared" si="25"/>
        <v>35–49</v>
      </c>
    </row>
    <row r="801" spans="1:13">
      <c r="A801" t="s">
        <v>1445</v>
      </c>
      <c r="B801" t="s">
        <v>1406</v>
      </c>
      <c r="C801">
        <v>52</v>
      </c>
      <c r="D801" t="s">
        <v>13</v>
      </c>
      <c r="E801" s="2">
        <v>45809</v>
      </c>
      <c r="F801" s="2">
        <v>45810</v>
      </c>
      <c r="G801" t="s">
        <v>32</v>
      </c>
      <c r="H801" t="s">
        <v>36</v>
      </c>
      <c r="I801" s="3">
        <v>809.13</v>
      </c>
      <c r="J801" s="4">
        <v>60</v>
      </c>
      <c r="K801" t="s">
        <v>21</v>
      </c>
      <c r="L801">
        <f t="shared" si="24"/>
        <v>1</v>
      </c>
      <c r="M801" t="str">
        <f t="shared" si="25"/>
        <v>50–64</v>
      </c>
    </row>
    <row r="802" spans="1:13">
      <c r="A802" t="s">
        <v>1446</v>
      </c>
      <c r="B802" t="s">
        <v>1447</v>
      </c>
      <c r="C802">
        <v>66</v>
      </c>
      <c r="D802" t="s">
        <v>13</v>
      </c>
      <c r="E802" s="2">
        <v>45335</v>
      </c>
      <c r="F802" s="2">
        <v>45337</v>
      </c>
      <c r="G802" t="s">
        <v>24</v>
      </c>
      <c r="H802" t="s">
        <v>334</v>
      </c>
      <c r="I802" s="3">
        <v>2529.54</v>
      </c>
      <c r="J802" s="4">
        <v>100</v>
      </c>
      <c r="K802" t="s">
        <v>21</v>
      </c>
      <c r="L802">
        <f t="shared" si="24"/>
        <v>2</v>
      </c>
      <c r="M802" t="str">
        <f t="shared" si="25"/>
        <v>65+</v>
      </c>
    </row>
    <row r="803" spans="1:13">
      <c r="A803" t="s">
        <v>1448</v>
      </c>
      <c r="B803" t="s">
        <v>1058</v>
      </c>
      <c r="C803">
        <v>8</v>
      </c>
      <c r="D803" t="s">
        <v>19</v>
      </c>
      <c r="E803" s="2">
        <v>45939</v>
      </c>
      <c r="F803" s="2">
        <v>45942</v>
      </c>
      <c r="G803" t="s">
        <v>50</v>
      </c>
      <c r="H803" t="s">
        <v>51</v>
      </c>
      <c r="I803" s="3">
        <v>4739.3900000000003</v>
      </c>
      <c r="J803" s="4">
        <v>80</v>
      </c>
      <c r="K803" t="s">
        <v>21</v>
      </c>
      <c r="L803">
        <f t="shared" si="24"/>
        <v>3</v>
      </c>
      <c r="M803" t="str">
        <f t="shared" si="25"/>
        <v>0–17</v>
      </c>
    </row>
    <row r="804" spans="1:13">
      <c r="A804" t="s">
        <v>1449</v>
      </c>
      <c r="B804" t="s">
        <v>953</v>
      </c>
      <c r="C804">
        <v>37</v>
      </c>
      <c r="D804" t="s">
        <v>19</v>
      </c>
      <c r="E804" s="2">
        <v>45961</v>
      </c>
      <c r="F804" s="2">
        <v>45962</v>
      </c>
      <c r="G804" t="s">
        <v>24</v>
      </c>
      <c r="H804" t="s">
        <v>29</v>
      </c>
      <c r="I804" s="3">
        <v>1444.42</v>
      </c>
      <c r="J804" s="4">
        <v>80</v>
      </c>
      <c r="K804" t="s">
        <v>16</v>
      </c>
      <c r="L804">
        <f t="shared" si="24"/>
        <v>1</v>
      </c>
      <c r="M804" t="str">
        <f t="shared" si="25"/>
        <v>35–49</v>
      </c>
    </row>
    <row r="805" spans="1:13">
      <c r="A805" t="s">
        <v>1450</v>
      </c>
      <c r="B805" t="s">
        <v>1451</v>
      </c>
      <c r="C805">
        <v>21</v>
      </c>
      <c r="D805" t="s">
        <v>19</v>
      </c>
      <c r="E805" s="2">
        <v>45384</v>
      </c>
      <c r="F805" s="2">
        <v>45385</v>
      </c>
      <c r="G805" t="s">
        <v>32</v>
      </c>
      <c r="H805" t="s">
        <v>54</v>
      </c>
      <c r="I805" s="3">
        <v>646.89</v>
      </c>
      <c r="J805" s="4">
        <v>70</v>
      </c>
      <c r="K805" t="s">
        <v>21</v>
      </c>
      <c r="L805">
        <f t="shared" si="24"/>
        <v>1</v>
      </c>
      <c r="M805" t="str">
        <f t="shared" si="25"/>
        <v>18–34</v>
      </c>
    </row>
    <row r="806" spans="1:13">
      <c r="A806" t="s">
        <v>1452</v>
      </c>
      <c r="B806" t="s">
        <v>1129</v>
      </c>
      <c r="C806">
        <v>64</v>
      </c>
      <c r="D806" t="s">
        <v>13</v>
      </c>
      <c r="E806" s="2">
        <v>45553</v>
      </c>
      <c r="F806" s="2">
        <v>45555</v>
      </c>
      <c r="G806" t="s">
        <v>24</v>
      </c>
      <c r="H806" t="s">
        <v>222</v>
      </c>
      <c r="I806" s="3">
        <v>4600.38</v>
      </c>
      <c r="J806" s="4">
        <v>70</v>
      </c>
      <c r="K806" t="s">
        <v>16</v>
      </c>
      <c r="L806">
        <f t="shared" si="24"/>
        <v>2</v>
      </c>
      <c r="M806" t="str">
        <f t="shared" si="25"/>
        <v>50–64</v>
      </c>
    </row>
    <row r="807" spans="1:13">
      <c r="A807" t="s">
        <v>1453</v>
      </c>
      <c r="B807" t="s">
        <v>578</v>
      </c>
      <c r="C807">
        <v>78</v>
      </c>
      <c r="D807" t="s">
        <v>19</v>
      </c>
      <c r="E807" s="2">
        <v>45495</v>
      </c>
      <c r="F807" s="2">
        <v>45498</v>
      </c>
      <c r="G807" t="s">
        <v>24</v>
      </c>
      <c r="H807" t="s">
        <v>29</v>
      </c>
      <c r="I807" s="3">
        <v>2479.6999999999998</v>
      </c>
      <c r="J807" s="4">
        <v>80</v>
      </c>
      <c r="K807" t="s">
        <v>16</v>
      </c>
      <c r="L807">
        <f t="shared" si="24"/>
        <v>3</v>
      </c>
      <c r="M807" t="str">
        <f t="shared" si="25"/>
        <v>65+</v>
      </c>
    </row>
    <row r="808" spans="1:13">
      <c r="A808" t="s">
        <v>1454</v>
      </c>
      <c r="B808" t="s">
        <v>1345</v>
      </c>
      <c r="C808">
        <v>48</v>
      </c>
      <c r="D808" t="s">
        <v>13</v>
      </c>
      <c r="E808" s="2">
        <v>45955</v>
      </c>
      <c r="F808" s="2">
        <v>45962</v>
      </c>
      <c r="G808" t="s">
        <v>32</v>
      </c>
      <c r="H808" t="s">
        <v>88</v>
      </c>
      <c r="I808" s="3">
        <v>10101.09</v>
      </c>
      <c r="J808" s="4">
        <v>80</v>
      </c>
      <c r="K808" t="s">
        <v>26</v>
      </c>
      <c r="L808">
        <f t="shared" si="24"/>
        <v>7</v>
      </c>
      <c r="M808" t="str">
        <f t="shared" si="25"/>
        <v>35–49</v>
      </c>
    </row>
    <row r="809" spans="1:13">
      <c r="A809" t="s">
        <v>1455</v>
      </c>
      <c r="B809" t="s">
        <v>1456</v>
      </c>
      <c r="C809">
        <v>59</v>
      </c>
      <c r="D809" t="s">
        <v>19</v>
      </c>
      <c r="E809" s="2">
        <v>45921</v>
      </c>
      <c r="F809" s="2">
        <v>45924</v>
      </c>
      <c r="G809" t="s">
        <v>32</v>
      </c>
      <c r="H809" t="s">
        <v>235</v>
      </c>
      <c r="I809" s="3">
        <v>2291.15</v>
      </c>
      <c r="J809" s="4">
        <v>60</v>
      </c>
      <c r="K809" t="s">
        <v>16</v>
      </c>
      <c r="L809">
        <f t="shared" si="24"/>
        <v>3</v>
      </c>
      <c r="M809" t="str">
        <f t="shared" si="25"/>
        <v>50–64</v>
      </c>
    </row>
    <row r="810" spans="1:13">
      <c r="A810" t="s">
        <v>1457</v>
      </c>
      <c r="B810" t="s">
        <v>1458</v>
      </c>
      <c r="C810">
        <v>61</v>
      </c>
      <c r="D810" t="s">
        <v>19</v>
      </c>
      <c r="E810" s="2">
        <v>45570</v>
      </c>
      <c r="F810" s="2">
        <v>45573</v>
      </c>
      <c r="G810" t="s">
        <v>32</v>
      </c>
      <c r="H810" t="s">
        <v>36</v>
      </c>
      <c r="I810" s="3">
        <v>4440.5200000000004</v>
      </c>
      <c r="J810" s="4">
        <v>0</v>
      </c>
      <c r="K810" t="s">
        <v>21</v>
      </c>
      <c r="L810">
        <f t="shared" si="24"/>
        <v>3</v>
      </c>
      <c r="M810" t="str">
        <f t="shared" si="25"/>
        <v>50–64</v>
      </c>
    </row>
    <row r="811" spans="1:13">
      <c r="A811" t="s">
        <v>1459</v>
      </c>
      <c r="B811" t="s">
        <v>1460</v>
      </c>
      <c r="C811">
        <v>83</v>
      </c>
      <c r="D811" t="s">
        <v>13</v>
      </c>
      <c r="E811" s="2">
        <v>45602</v>
      </c>
      <c r="F811" s="2">
        <v>45603</v>
      </c>
      <c r="G811" t="s">
        <v>32</v>
      </c>
      <c r="H811" t="s">
        <v>88</v>
      </c>
      <c r="I811" s="3">
        <v>923.56</v>
      </c>
      <c r="J811" s="4">
        <v>90</v>
      </c>
      <c r="K811" t="s">
        <v>16</v>
      </c>
      <c r="L811">
        <f t="shared" si="24"/>
        <v>1</v>
      </c>
      <c r="M811" t="str">
        <f t="shared" si="25"/>
        <v>65+</v>
      </c>
    </row>
    <row r="812" spans="1:13">
      <c r="A812" t="s">
        <v>1461</v>
      </c>
      <c r="B812" t="s">
        <v>859</v>
      </c>
      <c r="C812">
        <v>62</v>
      </c>
      <c r="D812" t="s">
        <v>13</v>
      </c>
      <c r="E812" s="2">
        <v>45601</v>
      </c>
      <c r="F812" s="2">
        <v>45604</v>
      </c>
      <c r="G812" t="s">
        <v>14</v>
      </c>
      <c r="H812" t="s">
        <v>166</v>
      </c>
      <c r="I812" s="3">
        <v>7663.44</v>
      </c>
      <c r="J812" s="4">
        <v>90</v>
      </c>
      <c r="K812" t="s">
        <v>16</v>
      </c>
      <c r="L812">
        <f t="shared" si="24"/>
        <v>3</v>
      </c>
      <c r="M812" t="str">
        <f t="shared" si="25"/>
        <v>50–64</v>
      </c>
    </row>
    <row r="813" spans="1:13">
      <c r="A813" t="s">
        <v>1462</v>
      </c>
      <c r="B813" t="s">
        <v>331</v>
      </c>
      <c r="C813">
        <v>14</v>
      </c>
      <c r="D813" t="s">
        <v>19</v>
      </c>
      <c r="E813" s="2">
        <v>45686</v>
      </c>
      <c r="F813" s="2">
        <v>45690</v>
      </c>
      <c r="G813" t="s">
        <v>50</v>
      </c>
      <c r="H813" t="s">
        <v>124</v>
      </c>
      <c r="I813" s="3">
        <v>6386.92</v>
      </c>
      <c r="J813" s="4">
        <v>100</v>
      </c>
      <c r="K813" t="s">
        <v>16</v>
      </c>
      <c r="L813">
        <f t="shared" si="24"/>
        <v>4</v>
      </c>
      <c r="M813" t="str">
        <f t="shared" si="25"/>
        <v>0–17</v>
      </c>
    </row>
    <row r="814" spans="1:13">
      <c r="A814" t="s">
        <v>1463</v>
      </c>
      <c r="B814" t="s">
        <v>417</v>
      </c>
      <c r="C814">
        <v>41</v>
      </c>
      <c r="D814" t="s">
        <v>19</v>
      </c>
      <c r="E814" s="2">
        <v>45344</v>
      </c>
      <c r="F814" s="2">
        <v>45346</v>
      </c>
      <c r="G814" t="s">
        <v>24</v>
      </c>
      <c r="H814" t="s">
        <v>222</v>
      </c>
      <c r="I814" s="3">
        <v>3243.4</v>
      </c>
      <c r="J814" s="4">
        <v>70</v>
      </c>
      <c r="K814" t="s">
        <v>26</v>
      </c>
      <c r="L814">
        <f t="shared" si="24"/>
        <v>2</v>
      </c>
      <c r="M814" t="str">
        <f t="shared" si="25"/>
        <v>35–49</v>
      </c>
    </row>
    <row r="815" spans="1:13">
      <c r="A815" t="s">
        <v>1464</v>
      </c>
      <c r="B815" t="s">
        <v>840</v>
      </c>
      <c r="C815">
        <v>28</v>
      </c>
      <c r="D815" t="s">
        <v>13</v>
      </c>
      <c r="E815" s="2">
        <v>45523</v>
      </c>
      <c r="F815" s="2">
        <v>45525</v>
      </c>
      <c r="G815" t="s">
        <v>24</v>
      </c>
      <c r="H815" t="s">
        <v>334</v>
      </c>
      <c r="I815" s="3">
        <v>2328.9699999999998</v>
      </c>
      <c r="J815" s="4">
        <v>60</v>
      </c>
      <c r="K815" t="s">
        <v>26</v>
      </c>
      <c r="L815">
        <f t="shared" si="24"/>
        <v>2</v>
      </c>
      <c r="M815" t="str">
        <f t="shared" si="25"/>
        <v>18–34</v>
      </c>
    </row>
    <row r="816" spans="1:13">
      <c r="A816" t="s">
        <v>1465</v>
      </c>
      <c r="B816" t="s">
        <v>1023</v>
      </c>
      <c r="C816">
        <v>76</v>
      </c>
      <c r="D816" t="s">
        <v>19</v>
      </c>
      <c r="E816" s="2">
        <v>45388</v>
      </c>
      <c r="F816" s="2">
        <v>45393</v>
      </c>
      <c r="G816" t="s">
        <v>14</v>
      </c>
      <c r="H816" t="s">
        <v>112</v>
      </c>
      <c r="I816" s="3">
        <v>11411.19</v>
      </c>
      <c r="J816" s="4">
        <v>70</v>
      </c>
      <c r="K816" t="s">
        <v>16</v>
      </c>
      <c r="L816">
        <f t="shared" si="24"/>
        <v>5</v>
      </c>
      <c r="M816" t="str">
        <f t="shared" si="25"/>
        <v>65+</v>
      </c>
    </row>
    <row r="817" spans="1:13">
      <c r="A817" t="s">
        <v>1466</v>
      </c>
      <c r="B817" t="s">
        <v>1467</v>
      </c>
      <c r="C817">
        <v>80</v>
      </c>
      <c r="D817" t="s">
        <v>19</v>
      </c>
      <c r="E817" s="2">
        <v>45449</v>
      </c>
      <c r="F817" s="2">
        <v>45457</v>
      </c>
      <c r="G817" t="s">
        <v>71</v>
      </c>
      <c r="H817" t="s">
        <v>95</v>
      </c>
      <c r="I817" s="3">
        <v>18741.169999999998</v>
      </c>
      <c r="J817" s="4">
        <v>70</v>
      </c>
      <c r="K817" t="s">
        <v>16</v>
      </c>
      <c r="L817">
        <f t="shared" si="24"/>
        <v>8</v>
      </c>
      <c r="M817" t="str">
        <f t="shared" si="25"/>
        <v>65+</v>
      </c>
    </row>
    <row r="818" spans="1:13">
      <c r="A818" t="s">
        <v>1468</v>
      </c>
      <c r="B818" t="s">
        <v>1358</v>
      </c>
      <c r="C818">
        <v>53</v>
      </c>
      <c r="D818" t="s">
        <v>19</v>
      </c>
      <c r="E818" s="2">
        <v>45541</v>
      </c>
      <c r="F818" s="2">
        <v>45543</v>
      </c>
      <c r="G818" t="s">
        <v>24</v>
      </c>
      <c r="H818" t="s">
        <v>29</v>
      </c>
      <c r="I818" s="3">
        <v>3602.24</v>
      </c>
      <c r="J818" s="4">
        <v>70</v>
      </c>
      <c r="K818" t="s">
        <v>16</v>
      </c>
      <c r="L818">
        <f t="shared" si="24"/>
        <v>2</v>
      </c>
      <c r="M818" t="str">
        <f t="shared" si="25"/>
        <v>50–64</v>
      </c>
    </row>
    <row r="819" spans="1:13">
      <c r="A819" t="s">
        <v>1469</v>
      </c>
      <c r="B819" t="s">
        <v>1470</v>
      </c>
      <c r="C819">
        <v>50</v>
      </c>
      <c r="D819" t="s">
        <v>19</v>
      </c>
      <c r="E819" s="2">
        <v>45609</v>
      </c>
      <c r="F819" s="2">
        <v>45611</v>
      </c>
      <c r="G819" t="s">
        <v>61</v>
      </c>
      <c r="H819" t="s">
        <v>75</v>
      </c>
      <c r="I819" s="3">
        <v>3967.17</v>
      </c>
      <c r="J819" s="4">
        <v>90</v>
      </c>
      <c r="K819" t="s">
        <v>16</v>
      </c>
      <c r="L819">
        <f t="shared" si="24"/>
        <v>2</v>
      </c>
      <c r="M819" t="str">
        <f t="shared" si="25"/>
        <v>50–64</v>
      </c>
    </row>
    <row r="820" spans="1:13">
      <c r="A820" t="s">
        <v>1471</v>
      </c>
      <c r="B820" t="s">
        <v>1472</v>
      </c>
      <c r="C820">
        <v>30</v>
      </c>
      <c r="D820" t="s">
        <v>19</v>
      </c>
      <c r="E820" s="2">
        <v>45602</v>
      </c>
      <c r="F820" s="2">
        <v>45606</v>
      </c>
      <c r="G820" t="s">
        <v>61</v>
      </c>
      <c r="H820" t="s">
        <v>98</v>
      </c>
      <c r="I820" s="3">
        <v>5430.38</v>
      </c>
      <c r="J820" s="4">
        <v>80</v>
      </c>
      <c r="K820" t="s">
        <v>16</v>
      </c>
      <c r="L820">
        <f t="shared" si="24"/>
        <v>4</v>
      </c>
      <c r="M820" t="str">
        <f t="shared" si="25"/>
        <v>18–34</v>
      </c>
    </row>
    <row r="821" spans="1:13">
      <c r="A821" t="s">
        <v>1473</v>
      </c>
      <c r="B821" t="s">
        <v>857</v>
      </c>
      <c r="C821">
        <v>49</v>
      </c>
      <c r="D821" t="s">
        <v>19</v>
      </c>
      <c r="E821" s="2">
        <v>45588</v>
      </c>
      <c r="F821" s="2">
        <v>45594</v>
      </c>
      <c r="G821" t="s">
        <v>32</v>
      </c>
      <c r="H821" t="s">
        <v>36</v>
      </c>
      <c r="I821" s="3">
        <v>3153.91</v>
      </c>
      <c r="J821" s="4">
        <v>90</v>
      </c>
      <c r="K821" t="s">
        <v>16</v>
      </c>
      <c r="L821">
        <f t="shared" si="24"/>
        <v>6</v>
      </c>
      <c r="M821" t="str">
        <f t="shared" si="25"/>
        <v>35–49</v>
      </c>
    </row>
    <row r="822" spans="1:13">
      <c r="A822" t="s">
        <v>1474</v>
      </c>
      <c r="B822" t="s">
        <v>1475</v>
      </c>
      <c r="C822">
        <v>32</v>
      </c>
      <c r="D822" t="s">
        <v>19</v>
      </c>
      <c r="E822" s="2">
        <v>45547</v>
      </c>
      <c r="F822" s="2">
        <v>45553</v>
      </c>
      <c r="G822" t="s">
        <v>32</v>
      </c>
      <c r="H822" t="s">
        <v>235</v>
      </c>
      <c r="I822" s="3">
        <v>4214.28</v>
      </c>
      <c r="J822" s="4">
        <v>80</v>
      </c>
      <c r="K822" t="s">
        <v>16</v>
      </c>
      <c r="L822">
        <f t="shared" si="24"/>
        <v>6</v>
      </c>
      <c r="M822" t="str">
        <f t="shared" si="25"/>
        <v>18–34</v>
      </c>
    </row>
    <row r="823" spans="1:13">
      <c r="A823" t="s">
        <v>1476</v>
      </c>
      <c r="B823" t="s">
        <v>821</v>
      </c>
      <c r="C823">
        <v>70</v>
      </c>
      <c r="D823" t="s">
        <v>13</v>
      </c>
      <c r="E823" s="2">
        <v>45947</v>
      </c>
      <c r="F823" s="2">
        <v>45950</v>
      </c>
      <c r="G823" t="s">
        <v>71</v>
      </c>
      <c r="H823" t="s">
        <v>195</v>
      </c>
      <c r="I823" s="3">
        <v>5898.39</v>
      </c>
      <c r="J823" s="4">
        <v>60</v>
      </c>
      <c r="K823" t="s">
        <v>21</v>
      </c>
      <c r="L823">
        <f t="shared" si="24"/>
        <v>3</v>
      </c>
      <c r="M823" t="str">
        <f t="shared" si="25"/>
        <v>65+</v>
      </c>
    </row>
    <row r="824" spans="1:13">
      <c r="A824" t="s">
        <v>1477</v>
      </c>
      <c r="B824" t="s">
        <v>41</v>
      </c>
      <c r="C824">
        <v>35</v>
      </c>
      <c r="D824" t="s">
        <v>19</v>
      </c>
      <c r="E824" s="2">
        <v>45974</v>
      </c>
      <c r="F824" s="2">
        <v>45988</v>
      </c>
      <c r="G824" t="s">
        <v>61</v>
      </c>
      <c r="H824" t="s">
        <v>143</v>
      </c>
      <c r="I824" s="3">
        <v>32045.67</v>
      </c>
      <c r="J824" s="4">
        <v>80</v>
      </c>
      <c r="K824" t="s">
        <v>16</v>
      </c>
      <c r="L824">
        <f t="shared" si="24"/>
        <v>14</v>
      </c>
      <c r="M824" t="str">
        <f t="shared" si="25"/>
        <v>35–49</v>
      </c>
    </row>
    <row r="825" spans="1:13">
      <c r="A825" t="s">
        <v>1478</v>
      </c>
      <c r="B825" t="s">
        <v>1217</v>
      </c>
      <c r="C825">
        <v>77</v>
      </c>
      <c r="D825" t="s">
        <v>13</v>
      </c>
      <c r="E825" s="2">
        <v>45383</v>
      </c>
      <c r="F825" s="2">
        <v>45388</v>
      </c>
      <c r="G825" t="s">
        <v>71</v>
      </c>
      <c r="H825" t="s">
        <v>238</v>
      </c>
      <c r="I825" s="3">
        <v>11916.1</v>
      </c>
      <c r="J825" s="4">
        <v>90</v>
      </c>
      <c r="K825" t="s">
        <v>16</v>
      </c>
      <c r="L825">
        <f t="shared" si="24"/>
        <v>5</v>
      </c>
      <c r="M825" t="str">
        <f t="shared" si="25"/>
        <v>65+</v>
      </c>
    </row>
    <row r="826" spans="1:13">
      <c r="A826" t="s">
        <v>1479</v>
      </c>
      <c r="B826" t="s">
        <v>1019</v>
      </c>
      <c r="C826">
        <v>26</v>
      </c>
      <c r="D826" t="s">
        <v>19</v>
      </c>
      <c r="E826" s="2">
        <v>45611</v>
      </c>
      <c r="F826" s="2">
        <v>45618</v>
      </c>
      <c r="G826" t="s">
        <v>32</v>
      </c>
      <c r="H826" t="s">
        <v>115</v>
      </c>
      <c r="I826" s="3">
        <v>5499.8</v>
      </c>
      <c r="J826" s="4">
        <v>80</v>
      </c>
      <c r="K826" t="s">
        <v>21</v>
      </c>
      <c r="L826">
        <f t="shared" si="24"/>
        <v>7</v>
      </c>
      <c r="M826" t="str">
        <f t="shared" si="25"/>
        <v>18–34</v>
      </c>
    </row>
    <row r="827" spans="1:13">
      <c r="A827" t="s">
        <v>1480</v>
      </c>
      <c r="B827" t="s">
        <v>923</v>
      </c>
      <c r="C827">
        <v>32</v>
      </c>
      <c r="D827" t="s">
        <v>13</v>
      </c>
      <c r="E827" s="2">
        <v>45973</v>
      </c>
      <c r="F827" s="2">
        <v>45978</v>
      </c>
      <c r="G827" t="s">
        <v>71</v>
      </c>
      <c r="H827" t="s">
        <v>95</v>
      </c>
      <c r="I827" s="3">
        <v>8755.16</v>
      </c>
      <c r="J827" s="4">
        <v>50</v>
      </c>
      <c r="K827" t="s">
        <v>16</v>
      </c>
      <c r="L827">
        <f t="shared" si="24"/>
        <v>5</v>
      </c>
      <c r="M827" t="str">
        <f t="shared" si="25"/>
        <v>18–34</v>
      </c>
    </row>
    <row r="828" spans="1:13">
      <c r="A828" t="s">
        <v>1481</v>
      </c>
      <c r="B828" t="s">
        <v>1482</v>
      </c>
      <c r="C828">
        <v>35</v>
      </c>
      <c r="D828" t="s">
        <v>13</v>
      </c>
      <c r="E828" s="2">
        <v>45664</v>
      </c>
      <c r="F828" s="2">
        <v>45669</v>
      </c>
      <c r="G828" t="s">
        <v>32</v>
      </c>
      <c r="H828" t="s">
        <v>115</v>
      </c>
      <c r="I828" s="3">
        <v>3252.83</v>
      </c>
      <c r="J828" s="4">
        <v>70</v>
      </c>
      <c r="K828" t="s">
        <v>26</v>
      </c>
      <c r="L828">
        <f t="shared" si="24"/>
        <v>5</v>
      </c>
      <c r="M828" t="str">
        <f t="shared" si="25"/>
        <v>35–49</v>
      </c>
    </row>
    <row r="829" spans="1:13">
      <c r="A829" t="s">
        <v>1483</v>
      </c>
      <c r="B829" t="s">
        <v>489</v>
      </c>
      <c r="C829">
        <v>52</v>
      </c>
      <c r="D829" t="s">
        <v>19</v>
      </c>
      <c r="E829" s="2">
        <v>45938</v>
      </c>
      <c r="F829" s="2">
        <v>45943</v>
      </c>
      <c r="G829" t="s">
        <v>61</v>
      </c>
      <c r="H829" t="s">
        <v>78</v>
      </c>
      <c r="I829" s="3">
        <v>12778.56</v>
      </c>
      <c r="J829" s="4">
        <v>80</v>
      </c>
      <c r="K829" t="s">
        <v>21</v>
      </c>
      <c r="L829">
        <f t="shared" si="24"/>
        <v>5</v>
      </c>
      <c r="M829" t="str">
        <f t="shared" si="25"/>
        <v>50–64</v>
      </c>
    </row>
    <row r="830" spans="1:13">
      <c r="A830" t="s">
        <v>1484</v>
      </c>
      <c r="B830" t="s">
        <v>257</v>
      </c>
      <c r="C830">
        <v>73</v>
      </c>
      <c r="D830" t="s">
        <v>13</v>
      </c>
      <c r="E830" s="2">
        <v>45973</v>
      </c>
      <c r="F830" s="2">
        <v>45985</v>
      </c>
      <c r="G830" t="s">
        <v>61</v>
      </c>
      <c r="H830" t="s">
        <v>75</v>
      </c>
      <c r="I830" s="3">
        <v>27830.62</v>
      </c>
      <c r="J830" s="4">
        <v>60</v>
      </c>
      <c r="K830" t="s">
        <v>21</v>
      </c>
      <c r="L830">
        <f t="shared" si="24"/>
        <v>12</v>
      </c>
      <c r="M830" t="str">
        <f t="shared" si="25"/>
        <v>65+</v>
      </c>
    </row>
    <row r="831" spans="1:13">
      <c r="A831" t="s">
        <v>1485</v>
      </c>
      <c r="B831" t="s">
        <v>526</v>
      </c>
      <c r="C831">
        <v>5</v>
      </c>
      <c r="D831" t="s">
        <v>13</v>
      </c>
      <c r="E831" s="2">
        <v>45860</v>
      </c>
      <c r="F831" s="2">
        <v>45864</v>
      </c>
      <c r="G831" t="s">
        <v>50</v>
      </c>
      <c r="H831" t="s">
        <v>379</v>
      </c>
      <c r="I831" s="3">
        <v>4474.62</v>
      </c>
      <c r="J831" s="4">
        <v>100</v>
      </c>
      <c r="K831" t="s">
        <v>21</v>
      </c>
      <c r="L831">
        <f t="shared" si="24"/>
        <v>4</v>
      </c>
      <c r="M831" t="str">
        <f t="shared" si="25"/>
        <v>0–17</v>
      </c>
    </row>
    <row r="832" spans="1:13">
      <c r="A832" t="s">
        <v>1486</v>
      </c>
      <c r="B832" t="s">
        <v>1487</v>
      </c>
      <c r="C832">
        <v>13</v>
      </c>
      <c r="D832" t="s">
        <v>13</v>
      </c>
      <c r="E832" s="2">
        <v>45658</v>
      </c>
      <c r="F832" s="2">
        <v>45662</v>
      </c>
      <c r="G832" t="s">
        <v>50</v>
      </c>
      <c r="H832" t="s">
        <v>379</v>
      </c>
      <c r="I832" s="3">
        <v>3553.09</v>
      </c>
      <c r="J832" s="4">
        <v>60</v>
      </c>
      <c r="K832" t="s">
        <v>21</v>
      </c>
      <c r="L832">
        <f t="shared" si="24"/>
        <v>4</v>
      </c>
      <c r="M832" t="str">
        <f t="shared" si="25"/>
        <v>0–17</v>
      </c>
    </row>
    <row r="833" spans="1:13">
      <c r="A833" t="s">
        <v>1488</v>
      </c>
      <c r="B833" t="s">
        <v>1489</v>
      </c>
      <c r="C833">
        <v>16</v>
      </c>
      <c r="D833" t="s">
        <v>13</v>
      </c>
      <c r="E833" s="2">
        <v>45952</v>
      </c>
      <c r="F833" s="2">
        <v>45954</v>
      </c>
      <c r="G833" t="s">
        <v>50</v>
      </c>
      <c r="H833" t="s">
        <v>118</v>
      </c>
      <c r="I833" s="3">
        <v>2767.65</v>
      </c>
      <c r="J833" s="4">
        <v>70</v>
      </c>
      <c r="K833" t="s">
        <v>16</v>
      </c>
      <c r="L833">
        <f t="shared" si="24"/>
        <v>2</v>
      </c>
      <c r="M833" t="str">
        <f t="shared" si="25"/>
        <v>0–17</v>
      </c>
    </row>
    <row r="834" spans="1:13">
      <c r="A834" t="s">
        <v>1490</v>
      </c>
      <c r="B834" t="s">
        <v>673</v>
      </c>
      <c r="C834">
        <v>14</v>
      </c>
      <c r="D834" t="s">
        <v>13</v>
      </c>
      <c r="E834" s="2">
        <v>45452</v>
      </c>
      <c r="F834" s="2">
        <v>45454</v>
      </c>
      <c r="G834" t="s">
        <v>50</v>
      </c>
      <c r="H834" t="s">
        <v>51</v>
      </c>
      <c r="I834" s="3">
        <v>2721.43</v>
      </c>
      <c r="J834" s="4">
        <v>80</v>
      </c>
      <c r="K834" t="s">
        <v>16</v>
      </c>
      <c r="L834">
        <f t="shared" si="24"/>
        <v>2</v>
      </c>
      <c r="M834" t="str">
        <f t="shared" si="25"/>
        <v>0–17</v>
      </c>
    </row>
    <row r="835" spans="1:13">
      <c r="A835" t="s">
        <v>1491</v>
      </c>
      <c r="B835" t="s">
        <v>1492</v>
      </c>
      <c r="C835">
        <v>21</v>
      </c>
      <c r="D835" t="s">
        <v>19</v>
      </c>
      <c r="E835" s="2">
        <v>45573</v>
      </c>
      <c r="F835" s="2">
        <v>45576</v>
      </c>
      <c r="G835" t="s">
        <v>24</v>
      </c>
      <c r="H835" t="s">
        <v>205</v>
      </c>
      <c r="I835" s="3">
        <v>2887.15</v>
      </c>
      <c r="J835" s="4">
        <v>90</v>
      </c>
      <c r="K835" t="s">
        <v>26</v>
      </c>
      <c r="L835">
        <f t="shared" ref="L835:L898" si="26">F835-E835</f>
        <v>3</v>
      </c>
      <c r="M835" t="str">
        <f t="shared" ref="M835:M898" si="27">IF(C835&lt;=17,"0–17",IF(C835&lt;=34,"18–34",IF(C835&lt;=49,"35–49",IF(C835&lt;=64,"50–64","65+"))))</f>
        <v>18–34</v>
      </c>
    </row>
    <row r="836" spans="1:13">
      <c r="A836" t="s">
        <v>1493</v>
      </c>
      <c r="B836" t="s">
        <v>1494</v>
      </c>
      <c r="C836">
        <v>29</v>
      </c>
      <c r="D836" t="s">
        <v>13</v>
      </c>
      <c r="E836" s="2">
        <v>45552</v>
      </c>
      <c r="F836" s="2">
        <v>45555</v>
      </c>
      <c r="G836" t="s">
        <v>24</v>
      </c>
      <c r="H836" t="s">
        <v>25</v>
      </c>
      <c r="I836" s="3">
        <v>7071.48</v>
      </c>
      <c r="J836" s="4">
        <v>80</v>
      </c>
      <c r="K836" t="s">
        <v>16</v>
      </c>
      <c r="L836">
        <f t="shared" si="26"/>
        <v>3</v>
      </c>
      <c r="M836" t="str">
        <f t="shared" si="27"/>
        <v>18–34</v>
      </c>
    </row>
    <row r="837" spans="1:13">
      <c r="A837" t="s">
        <v>1495</v>
      </c>
      <c r="B837" t="s">
        <v>1496</v>
      </c>
      <c r="C837">
        <v>72</v>
      </c>
      <c r="D837" t="s">
        <v>19</v>
      </c>
      <c r="E837" s="2">
        <v>45300</v>
      </c>
      <c r="F837" s="2">
        <v>45304</v>
      </c>
      <c r="G837" t="s">
        <v>14</v>
      </c>
      <c r="H837" t="s">
        <v>166</v>
      </c>
      <c r="I837" s="3">
        <v>8289.81</v>
      </c>
      <c r="J837" s="4">
        <v>80</v>
      </c>
      <c r="K837" t="s">
        <v>16</v>
      </c>
      <c r="L837">
        <f t="shared" si="26"/>
        <v>4</v>
      </c>
      <c r="M837" t="str">
        <f t="shared" si="27"/>
        <v>65+</v>
      </c>
    </row>
    <row r="838" spans="1:13">
      <c r="A838" t="s">
        <v>1497</v>
      </c>
      <c r="B838" t="s">
        <v>528</v>
      </c>
      <c r="C838">
        <v>20</v>
      </c>
      <c r="D838" t="s">
        <v>19</v>
      </c>
      <c r="E838" s="2">
        <v>45844</v>
      </c>
      <c r="F838" s="2">
        <v>45847</v>
      </c>
      <c r="G838" t="s">
        <v>32</v>
      </c>
      <c r="H838" t="s">
        <v>115</v>
      </c>
      <c r="I838" s="3">
        <v>1605.53</v>
      </c>
      <c r="J838" s="4">
        <v>80</v>
      </c>
      <c r="K838" t="s">
        <v>16</v>
      </c>
      <c r="L838">
        <f t="shared" si="26"/>
        <v>3</v>
      </c>
      <c r="M838" t="str">
        <f t="shared" si="27"/>
        <v>18–34</v>
      </c>
    </row>
    <row r="839" spans="1:13">
      <c r="A839" t="s">
        <v>1498</v>
      </c>
      <c r="B839" t="s">
        <v>87</v>
      </c>
      <c r="C839">
        <v>26</v>
      </c>
      <c r="D839" t="s">
        <v>19</v>
      </c>
      <c r="E839" s="2">
        <v>45672</v>
      </c>
      <c r="F839" s="2">
        <v>45675</v>
      </c>
      <c r="G839" t="s">
        <v>32</v>
      </c>
      <c r="H839" t="s">
        <v>115</v>
      </c>
      <c r="I839" s="3">
        <v>3803.99</v>
      </c>
      <c r="J839" s="4">
        <v>50</v>
      </c>
      <c r="K839" t="s">
        <v>26</v>
      </c>
      <c r="L839">
        <f t="shared" si="26"/>
        <v>3</v>
      </c>
      <c r="M839" t="str">
        <f t="shared" si="27"/>
        <v>18–34</v>
      </c>
    </row>
    <row r="840" spans="1:13">
      <c r="A840" t="s">
        <v>1499</v>
      </c>
      <c r="B840" t="s">
        <v>1500</v>
      </c>
      <c r="C840">
        <v>41</v>
      </c>
      <c r="D840" t="s">
        <v>19</v>
      </c>
      <c r="E840" s="2">
        <v>45913</v>
      </c>
      <c r="F840" s="2">
        <v>45919</v>
      </c>
      <c r="G840" t="s">
        <v>61</v>
      </c>
      <c r="H840" t="s">
        <v>143</v>
      </c>
      <c r="I840" s="3">
        <v>11654.43</v>
      </c>
      <c r="J840" s="4">
        <v>0</v>
      </c>
      <c r="K840" t="s">
        <v>26</v>
      </c>
      <c r="L840">
        <f t="shared" si="26"/>
        <v>6</v>
      </c>
      <c r="M840" t="str">
        <f t="shared" si="27"/>
        <v>35–49</v>
      </c>
    </row>
    <row r="841" spans="1:13">
      <c r="A841" t="s">
        <v>1501</v>
      </c>
      <c r="B841" t="s">
        <v>1502</v>
      </c>
      <c r="C841">
        <v>1</v>
      </c>
      <c r="D841" t="s">
        <v>13</v>
      </c>
      <c r="E841" s="2">
        <v>46004</v>
      </c>
      <c r="F841" s="2">
        <v>46006</v>
      </c>
      <c r="G841" t="s">
        <v>50</v>
      </c>
      <c r="H841" t="s">
        <v>131</v>
      </c>
      <c r="I841" s="3">
        <v>3542.96</v>
      </c>
      <c r="J841" s="4">
        <v>80</v>
      </c>
      <c r="K841" t="s">
        <v>26</v>
      </c>
      <c r="L841">
        <f t="shared" si="26"/>
        <v>2</v>
      </c>
      <c r="M841" t="str">
        <f t="shared" si="27"/>
        <v>0–17</v>
      </c>
    </row>
    <row r="842" spans="1:13">
      <c r="A842" t="s">
        <v>1503</v>
      </c>
      <c r="B842" t="s">
        <v>287</v>
      </c>
      <c r="C842">
        <v>1</v>
      </c>
      <c r="D842" t="s">
        <v>13</v>
      </c>
      <c r="E842" s="2">
        <v>45997</v>
      </c>
      <c r="F842" s="2">
        <v>46002</v>
      </c>
      <c r="G842" t="s">
        <v>50</v>
      </c>
      <c r="H842" t="s">
        <v>121</v>
      </c>
      <c r="I842" s="3">
        <v>6340.11</v>
      </c>
      <c r="J842" s="4">
        <v>70</v>
      </c>
      <c r="K842" t="s">
        <v>21</v>
      </c>
      <c r="L842">
        <f t="shared" si="26"/>
        <v>5</v>
      </c>
      <c r="M842" t="str">
        <f t="shared" si="27"/>
        <v>0–17</v>
      </c>
    </row>
    <row r="843" spans="1:13">
      <c r="A843" t="s">
        <v>1504</v>
      </c>
      <c r="B843" t="s">
        <v>1505</v>
      </c>
      <c r="C843">
        <v>31</v>
      </c>
      <c r="D843" t="s">
        <v>13</v>
      </c>
      <c r="E843" s="2">
        <v>45386</v>
      </c>
      <c r="F843" s="2">
        <v>45399</v>
      </c>
      <c r="G843" t="s">
        <v>61</v>
      </c>
      <c r="H843" t="s">
        <v>98</v>
      </c>
      <c r="I843" s="3">
        <v>33330.199999999997</v>
      </c>
      <c r="J843" s="4">
        <v>60</v>
      </c>
      <c r="K843" t="s">
        <v>16</v>
      </c>
      <c r="L843">
        <f t="shared" si="26"/>
        <v>13</v>
      </c>
      <c r="M843" t="str">
        <f t="shared" si="27"/>
        <v>18–34</v>
      </c>
    </row>
    <row r="844" spans="1:13">
      <c r="A844" t="s">
        <v>1506</v>
      </c>
      <c r="B844" t="s">
        <v>1108</v>
      </c>
      <c r="C844">
        <v>35</v>
      </c>
      <c r="D844" t="s">
        <v>19</v>
      </c>
      <c r="E844" s="2">
        <v>45649</v>
      </c>
      <c r="F844" s="2">
        <v>45652</v>
      </c>
      <c r="G844" t="s">
        <v>61</v>
      </c>
      <c r="H844" t="s">
        <v>78</v>
      </c>
      <c r="I844" s="3">
        <v>4622.9399999999996</v>
      </c>
      <c r="J844" s="4">
        <v>90</v>
      </c>
      <c r="K844" t="s">
        <v>16</v>
      </c>
      <c r="L844">
        <f t="shared" si="26"/>
        <v>3</v>
      </c>
      <c r="M844" t="str">
        <f t="shared" si="27"/>
        <v>35–49</v>
      </c>
    </row>
    <row r="845" spans="1:13">
      <c r="A845" t="s">
        <v>1507</v>
      </c>
      <c r="B845" t="s">
        <v>1508</v>
      </c>
      <c r="C845">
        <v>2</v>
      </c>
      <c r="D845" t="s">
        <v>13</v>
      </c>
      <c r="E845" s="2">
        <v>45472</v>
      </c>
      <c r="F845" s="2">
        <v>45477</v>
      </c>
      <c r="G845" t="s">
        <v>50</v>
      </c>
      <c r="H845" t="s">
        <v>124</v>
      </c>
      <c r="I845" s="3">
        <v>6314.88</v>
      </c>
      <c r="J845" s="4">
        <v>70</v>
      </c>
      <c r="K845" t="s">
        <v>16</v>
      </c>
      <c r="L845">
        <f t="shared" si="26"/>
        <v>5</v>
      </c>
      <c r="M845" t="str">
        <f t="shared" si="27"/>
        <v>0–17</v>
      </c>
    </row>
    <row r="846" spans="1:13">
      <c r="A846" t="s">
        <v>1509</v>
      </c>
      <c r="B846" t="s">
        <v>1510</v>
      </c>
      <c r="C846">
        <v>25</v>
      </c>
      <c r="D846" t="s">
        <v>13</v>
      </c>
      <c r="E846" s="2">
        <v>45409</v>
      </c>
      <c r="F846" s="2">
        <v>45423</v>
      </c>
      <c r="G846" t="s">
        <v>61</v>
      </c>
      <c r="H846" t="s">
        <v>98</v>
      </c>
      <c r="I846" s="3">
        <v>25971.47</v>
      </c>
      <c r="J846" s="4">
        <v>80</v>
      </c>
      <c r="K846" t="s">
        <v>21</v>
      </c>
      <c r="L846">
        <f t="shared" si="26"/>
        <v>14</v>
      </c>
      <c r="M846" t="str">
        <f t="shared" si="27"/>
        <v>18–34</v>
      </c>
    </row>
    <row r="847" spans="1:13">
      <c r="A847" t="s">
        <v>1511</v>
      </c>
      <c r="B847" t="s">
        <v>1342</v>
      </c>
      <c r="C847">
        <v>44</v>
      </c>
      <c r="D847" t="s">
        <v>19</v>
      </c>
      <c r="E847" s="2">
        <v>45346</v>
      </c>
      <c r="F847" s="2">
        <v>45351</v>
      </c>
      <c r="G847" t="s">
        <v>32</v>
      </c>
      <c r="H847" t="s">
        <v>235</v>
      </c>
      <c r="I847" s="3">
        <v>2926.43</v>
      </c>
      <c r="J847" s="4">
        <v>90</v>
      </c>
      <c r="K847" t="s">
        <v>16</v>
      </c>
      <c r="L847">
        <f t="shared" si="26"/>
        <v>5</v>
      </c>
      <c r="M847" t="str">
        <f t="shared" si="27"/>
        <v>35–49</v>
      </c>
    </row>
    <row r="848" spans="1:13">
      <c r="A848" t="s">
        <v>1512</v>
      </c>
      <c r="B848" t="s">
        <v>1513</v>
      </c>
      <c r="C848">
        <v>39</v>
      </c>
      <c r="D848" t="s">
        <v>13</v>
      </c>
      <c r="E848" s="2">
        <v>45931</v>
      </c>
      <c r="F848" s="2">
        <v>45936</v>
      </c>
      <c r="G848" t="s">
        <v>32</v>
      </c>
      <c r="H848" t="s">
        <v>45</v>
      </c>
      <c r="I848" s="3">
        <v>6712.97</v>
      </c>
      <c r="J848" s="4">
        <v>80</v>
      </c>
      <c r="K848" t="s">
        <v>21</v>
      </c>
      <c r="L848">
        <f t="shared" si="26"/>
        <v>5</v>
      </c>
      <c r="M848" t="str">
        <f t="shared" si="27"/>
        <v>35–49</v>
      </c>
    </row>
    <row r="849" spans="1:13">
      <c r="A849" t="s">
        <v>1514</v>
      </c>
      <c r="B849" t="s">
        <v>1456</v>
      </c>
      <c r="C849">
        <v>72</v>
      </c>
      <c r="D849" t="s">
        <v>19</v>
      </c>
      <c r="E849" s="2">
        <v>45539</v>
      </c>
      <c r="F849" s="2">
        <v>45542</v>
      </c>
      <c r="G849" t="s">
        <v>32</v>
      </c>
      <c r="H849" t="s">
        <v>36</v>
      </c>
      <c r="I849" s="3">
        <v>3235.11</v>
      </c>
      <c r="J849" s="4">
        <v>80</v>
      </c>
      <c r="K849" t="s">
        <v>16</v>
      </c>
      <c r="L849">
        <f t="shared" si="26"/>
        <v>3</v>
      </c>
      <c r="M849" t="str">
        <f t="shared" si="27"/>
        <v>65+</v>
      </c>
    </row>
    <row r="850" spans="1:13">
      <c r="A850" t="s">
        <v>1515</v>
      </c>
      <c r="B850" t="s">
        <v>1516</v>
      </c>
      <c r="C850">
        <v>64</v>
      </c>
      <c r="D850" t="s">
        <v>13</v>
      </c>
      <c r="E850" s="2">
        <v>45969</v>
      </c>
      <c r="F850" s="2">
        <v>45970</v>
      </c>
      <c r="G850" t="s">
        <v>24</v>
      </c>
      <c r="H850" t="s">
        <v>42</v>
      </c>
      <c r="I850" s="3">
        <v>1023.76</v>
      </c>
      <c r="J850" s="4">
        <v>100</v>
      </c>
      <c r="K850" t="s">
        <v>16</v>
      </c>
      <c r="L850">
        <f t="shared" si="26"/>
        <v>1</v>
      </c>
      <c r="M850" t="str">
        <f t="shared" si="27"/>
        <v>50–64</v>
      </c>
    </row>
    <row r="851" spans="1:13">
      <c r="A851" t="s">
        <v>1517</v>
      </c>
      <c r="B851" t="s">
        <v>970</v>
      </c>
      <c r="C851">
        <v>15</v>
      </c>
      <c r="D851" t="s">
        <v>19</v>
      </c>
      <c r="E851" s="2">
        <v>45731</v>
      </c>
      <c r="F851" s="2">
        <v>45736</v>
      </c>
      <c r="G851" t="s">
        <v>50</v>
      </c>
      <c r="H851" t="s">
        <v>118</v>
      </c>
      <c r="I851" s="3">
        <v>3307.88</v>
      </c>
      <c r="J851" s="4">
        <v>80</v>
      </c>
      <c r="K851" t="s">
        <v>26</v>
      </c>
      <c r="L851">
        <f t="shared" si="26"/>
        <v>5</v>
      </c>
      <c r="M851" t="str">
        <f t="shared" si="27"/>
        <v>0–17</v>
      </c>
    </row>
    <row r="852" spans="1:13">
      <c r="A852" t="s">
        <v>1518</v>
      </c>
      <c r="B852" t="s">
        <v>1519</v>
      </c>
      <c r="C852">
        <v>1</v>
      </c>
      <c r="D852" t="s">
        <v>13</v>
      </c>
      <c r="E852" s="2">
        <v>45364</v>
      </c>
      <c r="F852" s="2">
        <v>45366</v>
      </c>
      <c r="G852" t="s">
        <v>50</v>
      </c>
      <c r="H852" t="s">
        <v>118</v>
      </c>
      <c r="I852" s="3">
        <v>2503.98</v>
      </c>
      <c r="J852" s="4">
        <v>50</v>
      </c>
      <c r="K852" t="s">
        <v>16</v>
      </c>
      <c r="L852">
        <f t="shared" si="26"/>
        <v>2</v>
      </c>
      <c r="M852" t="str">
        <f t="shared" si="27"/>
        <v>0–17</v>
      </c>
    </row>
    <row r="853" spans="1:13">
      <c r="A853" t="s">
        <v>1520</v>
      </c>
      <c r="B853" t="s">
        <v>1521</v>
      </c>
      <c r="C853">
        <v>36</v>
      </c>
      <c r="D853" t="s">
        <v>13</v>
      </c>
      <c r="E853" s="2">
        <v>45549</v>
      </c>
      <c r="F853" s="2">
        <v>45555</v>
      </c>
      <c r="G853" t="s">
        <v>61</v>
      </c>
      <c r="H853" t="s">
        <v>62</v>
      </c>
      <c r="I853" s="3">
        <v>9721.9</v>
      </c>
      <c r="J853" s="4">
        <v>0</v>
      </c>
      <c r="K853" t="s">
        <v>21</v>
      </c>
      <c r="L853">
        <f t="shared" si="26"/>
        <v>6</v>
      </c>
      <c r="M853" t="str">
        <f t="shared" si="27"/>
        <v>35–49</v>
      </c>
    </row>
    <row r="854" spans="1:13">
      <c r="A854" t="s">
        <v>1522</v>
      </c>
      <c r="B854" t="s">
        <v>1523</v>
      </c>
      <c r="C854">
        <v>45</v>
      </c>
      <c r="D854" t="s">
        <v>13</v>
      </c>
      <c r="E854" s="2">
        <v>45772</v>
      </c>
      <c r="F854" s="2">
        <v>45779</v>
      </c>
      <c r="G854" t="s">
        <v>32</v>
      </c>
      <c r="H854" t="s">
        <v>33</v>
      </c>
      <c r="I854" s="3">
        <v>8925.93</v>
      </c>
      <c r="J854" s="4">
        <v>70</v>
      </c>
      <c r="K854" t="s">
        <v>26</v>
      </c>
      <c r="L854">
        <f t="shared" si="26"/>
        <v>7</v>
      </c>
      <c r="M854" t="str">
        <f t="shared" si="27"/>
        <v>35–49</v>
      </c>
    </row>
    <row r="855" spans="1:13">
      <c r="A855" t="s">
        <v>1524</v>
      </c>
      <c r="B855" t="s">
        <v>1084</v>
      </c>
      <c r="C855">
        <v>31</v>
      </c>
      <c r="D855" t="s">
        <v>13</v>
      </c>
      <c r="E855" s="2">
        <v>45407</v>
      </c>
      <c r="F855" s="2">
        <v>45410</v>
      </c>
      <c r="G855" t="s">
        <v>32</v>
      </c>
      <c r="H855" t="s">
        <v>54</v>
      </c>
      <c r="I855" s="3">
        <v>2423.96</v>
      </c>
      <c r="J855" s="4">
        <v>90</v>
      </c>
      <c r="K855" t="s">
        <v>16</v>
      </c>
      <c r="L855">
        <f t="shared" si="26"/>
        <v>3</v>
      </c>
      <c r="M855" t="str">
        <f t="shared" si="27"/>
        <v>18–34</v>
      </c>
    </row>
    <row r="856" spans="1:13">
      <c r="A856" t="s">
        <v>1525</v>
      </c>
      <c r="B856" t="s">
        <v>1526</v>
      </c>
      <c r="C856">
        <v>77</v>
      </c>
      <c r="D856" t="s">
        <v>19</v>
      </c>
      <c r="E856" s="2">
        <v>45612</v>
      </c>
      <c r="F856" s="2">
        <v>45618</v>
      </c>
      <c r="G856" t="s">
        <v>32</v>
      </c>
      <c r="H856" t="s">
        <v>36</v>
      </c>
      <c r="I856" s="3">
        <v>4453.26</v>
      </c>
      <c r="J856" s="4">
        <v>60</v>
      </c>
      <c r="K856" t="s">
        <v>21</v>
      </c>
      <c r="L856">
        <f t="shared" si="26"/>
        <v>6</v>
      </c>
      <c r="M856" t="str">
        <f t="shared" si="27"/>
        <v>65+</v>
      </c>
    </row>
    <row r="857" spans="1:13">
      <c r="A857" t="s">
        <v>1527</v>
      </c>
      <c r="B857" t="s">
        <v>291</v>
      </c>
      <c r="C857">
        <v>78</v>
      </c>
      <c r="D857" t="s">
        <v>13</v>
      </c>
      <c r="E857" s="2">
        <v>45547</v>
      </c>
      <c r="F857" s="2">
        <v>45550</v>
      </c>
      <c r="G857" t="s">
        <v>71</v>
      </c>
      <c r="H857" t="s">
        <v>158</v>
      </c>
      <c r="I857" s="3">
        <v>4774.57</v>
      </c>
      <c r="J857" s="4">
        <v>90</v>
      </c>
      <c r="K857" t="s">
        <v>16</v>
      </c>
      <c r="L857">
        <f t="shared" si="26"/>
        <v>3</v>
      </c>
      <c r="M857" t="str">
        <f t="shared" si="27"/>
        <v>65+</v>
      </c>
    </row>
    <row r="858" spans="1:13">
      <c r="A858" t="s">
        <v>1528</v>
      </c>
      <c r="B858" t="s">
        <v>1090</v>
      </c>
      <c r="C858">
        <v>31</v>
      </c>
      <c r="D858" t="s">
        <v>19</v>
      </c>
      <c r="E858" s="2">
        <v>45382</v>
      </c>
      <c r="F858" s="2">
        <v>45385</v>
      </c>
      <c r="G858" t="s">
        <v>24</v>
      </c>
      <c r="H858" t="s">
        <v>42</v>
      </c>
      <c r="I858" s="3">
        <v>3412</v>
      </c>
      <c r="J858" s="4">
        <v>100</v>
      </c>
      <c r="K858" t="s">
        <v>16</v>
      </c>
      <c r="L858">
        <f t="shared" si="26"/>
        <v>3</v>
      </c>
      <c r="M858" t="str">
        <f t="shared" si="27"/>
        <v>18–34</v>
      </c>
    </row>
    <row r="859" spans="1:13">
      <c r="A859" t="s">
        <v>1529</v>
      </c>
      <c r="B859" t="s">
        <v>671</v>
      </c>
      <c r="C859">
        <v>51</v>
      </c>
      <c r="D859" t="s">
        <v>19</v>
      </c>
      <c r="E859" s="2">
        <v>45576</v>
      </c>
      <c r="F859" s="2">
        <v>45577</v>
      </c>
      <c r="G859" t="s">
        <v>32</v>
      </c>
      <c r="H859" t="s">
        <v>54</v>
      </c>
      <c r="I859" s="3">
        <v>1093.33</v>
      </c>
      <c r="J859" s="4">
        <v>80</v>
      </c>
      <c r="K859" t="s">
        <v>16</v>
      </c>
      <c r="L859">
        <f t="shared" si="26"/>
        <v>1</v>
      </c>
      <c r="M859" t="str">
        <f t="shared" si="27"/>
        <v>50–64</v>
      </c>
    </row>
    <row r="860" spans="1:13">
      <c r="A860" t="s">
        <v>1530</v>
      </c>
      <c r="B860" t="s">
        <v>1531</v>
      </c>
      <c r="C860">
        <v>3</v>
      </c>
      <c r="D860" t="s">
        <v>19</v>
      </c>
      <c r="E860" s="2">
        <v>45964</v>
      </c>
      <c r="F860" s="2">
        <v>45968</v>
      </c>
      <c r="G860" t="s">
        <v>50</v>
      </c>
      <c r="H860" t="s">
        <v>51</v>
      </c>
      <c r="I860" s="3">
        <v>5111.21</v>
      </c>
      <c r="J860" s="4">
        <v>100</v>
      </c>
      <c r="K860" t="s">
        <v>16</v>
      </c>
      <c r="L860">
        <f t="shared" si="26"/>
        <v>4</v>
      </c>
      <c r="M860" t="str">
        <f t="shared" si="27"/>
        <v>0–17</v>
      </c>
    </row>
    <row r="861" spans="1:13">
      <c r="A861" t="s">
        <v>1532</v>
      </c>
      <c r="B861" t="s">
        <v>1533</v>
      </c>
      <c r="C861">
        <v>75</v>
      </c>
      <c r="D861" t="s">
        <v>13</v>
      </c>
      <c r="E861" s="2">
        <v>45717</v>
      </c>
      <c r="F861" s="2">
        <v>45723</v>
      </c>
      <c r="G861" t="s">
        <v>32</v>
      </c>
      <c r="H861" t="s">
        <v>45</v>
      </c>
      <c r="I861" s="3">
        <v>5375.85</v>
      </c>
      <c r="J861" s="4">
        <v>70</v>
      </c>
      <c r="K861" t="s">
        <v>16</v>
      </c>
      <c r="L861">
        <f t="shared" si="26"/>
        <v>6</v>
      </c>
      <c r="M861" t="str">
        <f t="shared" si="27"/>
        <v>65+</v>
      </c>
    </row>
    <row r="862" spans="1:13">
      <c r="A862" t="s">
        <v>1534</v>
      </c>
      <c r="B862" t="s">
        <v>1535</v>
      </c>
      <c r="C862">
        <v>55</v>
      </c>
      <c r="D862" t="s">
        <v>13</v>
      </c>
      <c r="E862" s="2">
        <v>45494</v>
      </c>
      <c r="F862" s="2">
        <v>45498</v>
      </c>
      <c r="G862" t="s">
        <v>61</v>
      </c>
      <c r="H862" t="s">
        <v>62</v>
      </c>
      <c r="I862" s="3">
        <v>9604.6200000000008</v>
      </c>
      <c r="J862" s="4">
        <v>100</v>
      </c>
      <c r="K862" t="s">
        <v>21</v>
      </c>
      <c r="L862">
        <f t="shared" si="26"/>
        <v>4</v>
      </c>
      <c r="M862" t="str">
        <f t="shared" si="27"/>
        <v>50–64</v>
      </c>
    </row>
    <row r="863" spans="1:13">
      <c r="A863" t="s">
        <v>1536</v>
      </c>
      <c r="B863" t="s">
        <v>1537</v>
      </c>
      <c r="C863">
        <v>51</v>
      </c>
      <c r="D863" t="s">
        <v>19</v>
      </c>
      <c r="E863" s="2">
        <v>45633</v>
      </c>
      <c r="F863" s="2">
        <v>45640</v>
      </c>
      <c r="G863" t="s">
        <v>32</v>
      </c>
      <c r="H863" t="s">
        <v>235</v>
      </c>
      <c r="I863" s="3">
        <v>8806.14</v>
      </c>
      <c r="J863" s="4">
        <v>70</v>
      </c>
      <c r="K863" t="s">
        <v>16</v>
      </c>
      <c r="L863">
        <f t="shared" si="26"/>
        <v>7</v>
      </c>
      <c r="M863" t="str">
        <f t="shared" si="27"/>
        <v>50–64</v>
      </c>
    </row>
    <row r="864" spans="1:13">
      <c r="A864" t="s">
        <v>1538</v>
      </c>
      <c r="B864" t="s">
        <v>1539</v>
      </c>
      <c r="C864">
        <v>20</v>
      </c>
      <c r="D864" t="s">
        <v>19</v>
      </c>
      <c r="E864" s="2">
        <v>45686</v>
      </c>
      <c r="F864" s="2">
        <v>45688</v>
      </c>
      <c r="G864" t="s">
        <v>24</v>
      </c>
      <c r="H864" t="s">
        <v>222</v>
      </c>
      <c r="I864" s="3">
        <v>3945.82</v>
      </c>
      <c r="J864" s="4">
        <v>80</v>
      </c>
      <c r="K864" t="s">
        <v>16</v>
      </c>
      <c r="L864">
        <f t="shared" si="26"/>
        <v>2</v>
      </c>
      <c r="M864" t="str">
        <f t="shared" si="27"/>
        <v>18–34</v>
      </c>
    </row>
    <row r="865" spans="1:13">
      <c r="A865" t="s">
        <v>1540</v>
      </c>
      <c r="B865" t="s">
        <v>1541</v>
      </c>
      <c r="C865">
        <v>33</v>
      </c>
      <c r="D865" t="s">
        <v>19</v>
      </c>
      <c r="E865" s="2">
        <v>45884</v>
      </c>
      <c r="F865" s="2">
        <v>45885</v>
      </c>
      <c r="G865" t="s">
        <v>24</v>
      </c>
      <c r="H865" t="s">
        <v>205</v>
      </c>
      <c r="I865" s="3">
        <v>2303.3000000000002</v>
      </c>
      <c r="J865" s="4">
        <v>80</v>
      </c>
      <c r="K865" t="s">
        <v>16</v>
      </c>
      <c r="L865">
        <f t="shared" si="26"/>
        <v>1</v>
      </c>
      <c r="M865" t="str">
        <f t="shared" si="27"/>
        <v>18–34</v>
      </c>
    </row>
    <row r="866" spans="1:13">
      <c r="A866" t="s">
        <v>1542</v>
      </c>
      <c r="B866" t="s">
        <v>49</v>
      </c>
      <c r="C866">
        <v>9</v>
      </c>
      <c r="D866" t="s">
        <v>13</v>
      </c>
      <c r="E866" s="2">
        <v>45814</v>
      </c>
      <c r="F866" s="2">
        <v>45815</v>
      </c>
      <c r="G866" t="s">
        <v>50</v>
      </c>
      <c r="H866" t="s">
        <v>121</v>
      </c>
      <c r="I866" s="3">
        <v>1534.49</v>
      </c>
      <c r="J866" s="4">
        <v>80</v>
      </c>
      <c r="K866" t="s">
        <v>16</v>
      </c>
      <c r="L866">
        <f t="shared" si="26"/>
        <v>1</v>
      </c>
      <c r="M866" t="str">
        <f t="shared" si="27"/>
        <v>0–17</v>
      </c>
    </row>
    <row r="867" spans="1:13">
      <c r="A867" t="s">
        <v>1543</v>
      </c>
      <c r="B867" t="s">
        <v>1544</v>
      </c>
      <c r="C867">
        <v>27</v>
      </c>
      <c r="D867" t="s">
        <v>13</v>
      </c>
      <c r="E867" s="2">
        <v>45349</v>
      </c>
      <c r="F867" s="2">
        <v>45350</v>
      </c>
      <c r="G867" t="s">
        <v>32</v>
      </c>
      <c r="H867" t="s">
        <v>88</v>
      </c>
      <c r="I867" s="3">
        <v>1353.93</v>
      </c>
      <c r="J867" s="4">
        <v>80</v>
      </c>
      <c r="K867" t="s">
        <v>16</v>
      </c>
      <c r="L867">
        <f t="shared" si="26"/>
        <v>1</v>
      </c>
      <c r="M867" t="str">
        <f t="shared" si="27"/>
        <v>18–34</v>
      </c>
    </row>
    <row r="868" spans="1:13">
      <c r="A868" t="s">
        <v>1545</v>
      </c>
      <c r="B868" t="s">
        <v>1546</v>
      </c>
      <c r="C868">
        <v>70</v>
      </c>
      <c r="D868" t="s">
        <v>19</v>
      </c>
      <c r="E868" s="2">
        <v>45422</v>
      </c>
      <c r="F868" s="2">
        <v>45428</v>
      </c>
      <c r="G868" t="s">
        <v>14</v>
      </c>
      <c r="H868" t="s">
        <v>166</v>
      </c>
      <c r="I868" s="3">
        <v>12898.02</v>
      </c>
      <c r="J868" s="4">
        <v>50</v>
      </c>
      <c r="K868" t="s">
        <v>21</v>
      </c>
      <c r="L868">
        <f t="shared" si="26"/>
        <v>6</v>
      </c>
      <c r="M868" t="str">
        <f t="shared" si="27"/>
        <v>65+</v>
      </c>
    </row>
    <row r="869" spans="1:13">
      <c r="A869" t="s">
        <v>1547</v>
      </c>
      <c r="B869" t="s">
        <v>1548</v>
      </c>
      <c r="C869">
        <v>62</v>
      </c>
      <c r="D869" t="s">
        <v>19</v>
      </c>
      <c r="E869" s="2">
        <v>45420</v>
      </c>
      <c r="F869" s="2">
        <v>45424</v>
      </c>
      <c r="G869" t="s">
        <v>32</v>
      </c>
      <c r="H869" t="s">
        <v>54</v>
      </c>
      <c r="I869" s="3">
        <v>4833.0200000000004</v>
      </c>
      <c r="J869" s="4">
        <v>70</v>
      </c>
      <c r="K869" t="s">
        <v>26</v>
      </c>
      <c r="L869">
        <f t="shared" si="26"/>
        <v>4</v>
      </c>
      <c r="M869" t="str">
        <f t="shared" si="27"/>
        <v>50–64</v>
      </c>
    </row>
    <row r="870" spans="1:13">
      <c r="A870" t="s">
        <v>1549</v>
      </c>
      <c r="B870" t="s">
        <v>574</v>
      </c>
      <c r="C870">
        <v>42</v>
      </c>
      <c r="D870" t="s">
        <v>13</v>
      </c>
      <c r="E870" s="2">
        <v>45619</v>
      </c>
      <c r="F870" s="2">
        <v>45622</v>
      </c>
      <c r="G870" t="s">
        <v>61</v>
      </c>
      <c r="H870" t="s">
        <v>143</v>
      </c>
      <c r="I870" s="3">
        <v>3132.44</v>
      </c>
      <c r="J870" s="4">
        <v>80</v>
      </c>
      <c r="K870" t="s">
        <v>16</v>
      </c>
      <c r="L870">
        <f t="shared" si="26"/>
        <v>3</v>
      </c>
      <c r="M870" t="str">
        <f t="shared" si="27"/>
        <v>35–49</v>
      </c>
    </row>
    <row r="871" spans="1:13">
      <c r="A871" t="s">
        <v>1550</v>
      </c>
      <c r="B871" t="s">
        <v>1551</v>
      </c>
      <c r="C871">
        <v>60</v>
      </c>
      <c r="D871" t="s">
        <v>13</v>
      </c>
      <c r="E871" s="2">
        <v>45791</v>
      </c>
      <c r="F871" s="2">
        <v>45798</v>
      </c>
      <c r="G871" t="s">
        <v>71</v>
      </c>
      <c r="H871" t="s">
        <v>158</v>
      </c>
      <c r="I871" s="3">
        <v>9720.49</v>
      </c>
      <c r="J871" s="4">
        <v>90</v>
      </c>
      <c r="K871" t="s">
        <v>21</v>
      </c>
      <c r="L871">
        <f t="shared" si="26"/>
        <v>7</v>
      </c>
      <c r="M871" t="str">
        <f t="shared" si="27"/>
        <v>50–64</v>
      </c>
    </row>
    <row r="872" spans="1:13">
      <c r="A872" t="s">
        <v>1552</v>
      </c>
      <c r="B872" t="s">
        <v>849</v>
      </c>
      <c r="C872">
        <v>16</v>
      </c>
      <c r="D872" t="s">
        <v>19</v>
      </c>
      <c r="E872" s="2">
        <v>45682</v>
      </c>
      <c r="F872" s="2">
        <v>45685</v>
      </c>
      <c r="G872" t="s">
        <v>50</v>
      </c>
      <c r="H872" t="s">
        <v>51</v>
      </c>
      <c r="I872" s="3">
        <v>3754.13</v>
      </c>
      <c r="J872" s="4">
        <v>80</v>
      </c>
      <c r="K872" t="s">
        <v>16</v>
      </c>
      <c r="L872">
        <f t="shared" si="26"/>
        <v>3</v>
      </c>
      <c r="M872" t="str">
        <f t="shared" si="27"/>
        <v>0–17</v>
      </c>
    </row>
    <row r="873" spans="1:13">
      <c r="A873" t="s">
        <v>1553</v>
      </c>
      <c r="B873" t="s">
        <v>1313</v>
      </c>
      <c r="C873">
        <v>34</v>
      </c>
      <c r="D873" t="s">
        <v>13</v>
      </c>
      <c r="E873" s="2">
        <v>45569</v>
      </c>
      <c r="F873" s="2">
        <v>45573</v>
      </c>
      <c r="G873" t="s">
        <v>32</v>
      </c>
      <c r="H873" t="s">
        <v>45</v>
      </c>
      <c r="I873" s="3">
        <v>5762.53</v>
      </c>
      <c r="J873" s="4">
        <v>90</v>
      </c>
      <c r="K873" t="s">
        <v>16</v>
      </c>
      <c r="L873">
        <f t="shared" si="26"/>
        <v>4</v>
      </c>
      <c r="M873" t="str">
        <f t="shared" si="27"/>
        <v>18–34</v>
      </c>
    </row>
    <row r="874" spans="1:13">
      <c r="A874" t="s">
        <v>1554</v>
      </c>
      <c r="B874" t="s">
        <v>1555</v>
      </c>
      <c r="C874">
        <v>79</v>
      </c>
      <c r="D874" t="s">
        <v>13</v>
      </c>
      <c r="E874" s="2">
        <v>45968</v>
      </c>
      <c r="F874" s="2">
        <v>45969</v>
      </c>
      <c r="G874" t="s">
        <v>32</v>
      </c>
      <c r="H874" t="s">
        <v>115</v>
      </c>
      <c r="I874" s="3">
        <v>808.56</v>
      </c>
      <c r="J874" s="4">
        <v>70</v>
      </c>
      <c r="K874" t="s">
        <v>16</v>
      </c>
      <c r="L874">
        <f t="shared" si="26"/>
        <v>1</v>
      </c>
      <c r="M874" t="str">
        <f t="shared" si="27"/>
        <v>65+</v>
      </c>
    </row>
    <row r="875" spans="1:13">
      <c r="A875" t="s">
        <v>1556</v>
      </c>
      <c r="B875" t="s">
        <v>1557</v>
      </c>
      <c r="C875">
        <v>64</v>
      </c>
      <c r="D875" t="s">
        <v>19</v>
      </c>
      <c r="E875" s="2">
        <v>45973</v>
      </c>
      <c r="F875" s="2">
        <v>45981</v>
      </c>
      <c r="G875" t="s">
        <v>14</v>
      </c>
      <c r="H875" t="s">
        <v>39</v>
      </c>
      <c r="I875" s="3">
        <v>15637.55</v>
      </c>
      <c r="J875" s="4">
        <v>90</v>
      </c>
      <c r="K875" t="s">
        <v>16</v>
      </c>
      <c r="L875">
        <f t="shared" si="26"/>
        <v>8</v>
      </c>
      <c r="M875" t="str">
        <f t="shared" si="27"/>
        <v>50–64</v>
      </c>
    </row>
    <row r="876" spans="1:13">
      <c r="A876" t="s">
        <v>1558</v>
      </c>
      <c r="B876" t="s">
        <v>1023</v>
      </c>
      <c r="C876">
        <v>58</v>
      </c>
      <c r="D876" t="s">
        <v>19</v>
      </c>
      <c r="E876" s="2">
        <v>45722</v>
      </c>
      <c r="F876" s="2">
        <v>45724</v>
      </c>
      <c r="G876" t="s">
        <v>24</v>
      </c>
      <c r="H876" t="s">
        <v>42</v>
      </c>
      <c r="I876" s="3">
        <v>4011.18</v>
      </c>
      <c r="J876" s="4">
        <v>90</v>
      </c>
      <c r="K876" t="s">
        <v>16</v>
      </c>
      <c r="L876">
        <f t="shared" si="26"/>
        <v>2</v>
      </c>
      <c r="M876" t="str">
        <f t="shared" si="27"/>
        <v>50–64</v>
      </c>
    </row>
    <row r="877" spans="1:13">
      <c r="A877" t="s">
        <v>1559</v>
      </c>
      <c r="B877" t="s">
        <v>903</v>
      </c>
      <c r="C877">
        <v>53</v>
      </c>
      <c r="D877" t="s">
        <v>13</v>
      </c>
      <c r="E877" s="2">
        <v>45412</v>
      </c>
      <c r="F877" s="2">
        <v>45417</v>
      </c>
      <c r="G877" t="s">
        <v>14</v>
      </c>
      <c r="H877" t="s">
        <v>112</v>
      </c>
      <c r="I877" s="3">
        <v>10693.69</v>
      </c>
      <c r="J877" s="4">
        <v>100</v>
      </c>
      <c r="K877" t="s">
        <v>16</v>
      </c>
      <c r="L877">
        <f t="shared" si="26"/>
        <v>5</v>
      </c>
      <c r="M877" t="str">
        <f t="shared" si="27"/>
        <v>50–64</v>
      </c>
    </row>
    <row r="878" spans="1:13">
      <c r="A878" t="s">
        <v>1560</v>
      </c>
      <c r="B878" t="s">
        <v>1561</v>
      </c>
      <c r="C878">
        <v>39</v>
      </c>
      <c r="D878" t="s">
        <v>19</v>
      </c>
      <c r="E878" s="2">
        <v>45633</v>
      </c>
      <c r="F878" s="2">
        <v>45636</v>
      </c>
      <c r="G878" t="s">
        <v>61</v>
      </c>
      <c r="H878" t="s">
        <v>143</v>
      </c>
      <c r="I878" s="3">
        <v>3746.98</v>
      </c>
      <c r="J878" s="4">
        <v>80</v>
      </c>
      <c r="K878" t="s">
        <v>16</v>
      </c>
      <c r="L878">
        <f t="shared" si="26"/>
        <v>3</v>
      </c>
      <c r="M878" t="str">
        <f t="shared" si="27"/>
        <v>35–49</v>
      </c>
    </row>
    <row r="879" spans="1:13">
      <c r="A879" t="s">
        <v>1562</v>
      </c>
      <c r="B879" t="s">
        <v>1067</v>
      </c>
      <c r="C879">
        <v>31</v>
      </c>
      <c r="D879" t="s">
        <v>13</v>
      </c>
      <c r="E879" s="2">
        <v>45515</v>
      </c>
      <c r="F879" s="2">
        <v>45525</v>
      </c>
      <c r="G879" t="s">
        <v>71</v>
      </c>
      <c r="H879" t="s">
        <v>238</v>
      </c>
      <c r="I879" s="3">
        <v>24544.65</v>
      </c>
      <c r="J879" s="4">
        <v>80</v>
      </c>
      <c r="K879" t="s">
        <v>16</v>
      </c>
      <c r="L879">
        <f t="shared" si="26"/>
        <v>10</v>
      </c>
      <c r="M879" t="str">
        <f t="shared" si="27"/>
        <v>18–34</v>
      </c>
    </row>
    <row r="880" spans="1:13">
      <c r="A880" t="s">
        <v>1563</v>
      </c>
      <c r="B880" t="s">
        <v>1564</v>
      </c>
      <c r="C880">
        <v>35</v>
      </c>
      <c r="D880" t="s">
        <v>13</v>
      </c>
      <c r="E880" s="2">
        <v>45604</v>
      </c>
      <c r="F880" s="2">
        <v>45605</v>
      </c>
      <c r="G880" t="s">
        <v>24</v>
      </c>
      <c r="H880" t="s">
        <v>205</v>
      </c>
      <c r="I880" s="3">
        <v>1355.19</v>
      </c>
      <c r="J880" s="4">
        <v>80</v>
      </c>
      <c r="K880" t="s">
        <v>16</v>
      </c>
      <c r="L880">
        <f t="shared" si="26"/>
        <v>1</v>
      </c>
      <c r="M880" t="str">
        <f t="shared" si="27"/>
        <v>35–49</v>
      </c>
    </row>
    <row r="881" spans="1:13">
      <c r="A881" t="s">
        <v>1565</v>
      </c>
      <c r="B881" t="s">
        <v>1566</v>
      </c>
      <c r="C881">
        <v>10</v>
      </c>
      <c r="D881" t="s">
        <v>19</v>
      </c>
      <c r="E881" s="2">
        <v>45498</v>
      </c>
      <c r="F881" s="2">
        <v>45499</v>
      </c>
      <c r="G881" t="s">
        <v>50</v>
      </c>
      <c r="H881" t="s">
        <v>124</v>
      </c>
      <c r="I881" s="3">
        <v>628.96</v>
      </c>
      <c r="J881" s="4">
        <v>70</v>
      </c>
      <c r="K881" t="s">
        <v>16</v>
      </c>
      <c r="L881">
        <f t="shared" si="26"/>
        <v>1</v>
      </c>
      <c r="M881" t="str">
        <f t="shared" si="27"/>
        <v>0–17</v>
      </c>
    </row>
    <row r="882" spans="1:13">
      <c r="A882" t="s">
        <v>1567</v>
      </c>
      <c r="B882" t="s">
        <v>1568</v>
      </c>
      <c r="C882">
        <v>47</v>
      </c>
      <c r="D882" t="s">
        <v>19</v>
      </c>
      <c r="E882" s="2">
        <v>45684</v>
      </c>
      <c r="F882" s="2">
        <v>45686</v>
      </c>
      <c r="G882" t="s">
        <v>32</v>
      </c>
      <c r="H882" t="s">
        <v>88</v>
      </c>
      <c r="I882" s="3">
        <v>2366.37</v>
      </c>
      <c r="J882" s="4">
        <v>80</v>
      </c>
      <c r="K882" t="s">
        <v>16</v>
      </c>
      <c r="L882">
        <f t="shared" si="26"/>
        <v>2</v>
      </c>
      <c r="M882" t="str">
        <f t="shared" si="27"/>
        <v>35–49</v>
      </c>
    </row>
    <row r="883" spans="1:13">
      <c r="A883" t="s">
        <v>1569</v>
      </c>
      <c r="B883" t="s">
        <v>1570</v>
      </c>
      <c r="C883">
        <v>22</v>
      </c>
      <c r="D883" t="s">
        <v>13</v>
      </c>
      <c r="E883" s="2">
        <v>45565</v>
      </c>
      <c r="F883" s="2">
        <v>45566</v>
      </c>
      <c r="G883" t="s">
        <v>24</v>
      </c>
      <c r="H883" t="s">
        <v>334</v>
      </c>
      <c r="I883" s="3">
        <v>2471.9699999999998</v>
      </c>
      <c r="J883" s="4">
        <v>50</v>
      </c>
      <c r="K883" t="s">
        <v>16</v>
      </c>
      <c r="L883">
        <f t="shared" si="26"/>
        <v>1</v>
      </c>
      <c r="M883" t="str">
        <f t="shared" si="27"/>
        <v>18–34</v>
      </c>
    </row>
    <row r="884" spans="1:13">
      <c r="A884" t="s">
        <v>1571</v>
      </c>
      <c r="B884" t="s">
        <v>1572</v>
      </c>
      <c r="C884">
        <v>51</v>
      </c>
      <c r="D884" t="s">
        <v>19</v>
      </c>
      <c r="E884" s="2">
        <v>45611</v>
      </c>
      <c r="F884" s="2">
        <v>45616</v>
      </c>
      <c r="G884" t="s">
        <v>14</v>
      </c>
      <c r="H884" t="s">
        <v>103</v>
      </c>
      <c r="I884" s="3">
        <v>12189.63</v>
      </c>
      <c r="J884" s="4">
        <v>90</v>
      </c>
      <c r="K884" t="s">
        <v>16</v>
      </c>
      <c r="L884">
        <f t="shared" si="26"/>
        <v>5</v>
      </c>
      <c r="M884" t="str">
        <f t="shared" si="27"/>
        <v>50–64</v>
      </c>
    </row>
    <row r="885" spans="1:13">
      <c r="A885" t="s">
        <v>1573</v>
      </c>
      <c r="B885" t="s">
        <v>1574</v>
      </c>
      <c r="C885">
        <v>7</v>
      </c>
      <c r="D885" t="s">
        <v>13</v>
      </c>
      <c r="E885" s="2">
        <v>45660</v>
      </c>
      <c r="F885" s="2">
        <v>45663</v>
      </c>
      <c r="G885" t="s">
        <v>50</v>
      </c>
      <c r="H885" t="s">
        <v>121</v>
      </c>
      <c r="I885" s="3">
        <v>4133.3599999999997</v>
      </c>
      <c r="J885" s="4">
        <v>60</v>
      </c>
      <c r="K885" t="s">
        <v>21</v>
      </c>
      <c r="L885">
        <f t="shared" si="26"/>
        <v>3</v>
      </c>
      <c r="M885" t="str">
        <f t="shared" si="27"/>
        <v>0–17</v>
      </c>
    </row>
    <row r="886" spans="1:13">
      <c r="A886" t="s">
        <v>1575</v>
      </c>
      <c r="B886" t="s">
        <v>1576</v>
      </c>
      <c r="C886">
        <v>29</v>
      </c>
      <c r="D886" t="s">
        <v>19</v>
      </c>
      <c r="E886" s="2">
        <v>45672</v>
      </c>
      <c r="F886" s="2">
        <v>45682</v>
      </c>
      <c r="G886" t="s">
        <v>61</v>
      </c>
      <c r="H886" t="s">
        <v>75</v>
      </c>
      <c r="I886" s="3">
        <v>10560.57</v>
      </c>
      <c r="J886" s="4">
        <v>70</v>
      </c>
      <c r="K886" t="s">
        <v>16</v>
      </c>
      <c r="L886">
        <f t="shared" si="26"/>
        <v>10</v>
      </c>
      <c r="M886" t="str">
        <f t="shared" si="27"/>
        <v>18–34</v>
      </c>
    </row>
    <row r="887" spans="1:13">
      <c r="A887" t="s">
        <v>1577</v>
      </c>
      <c r="B887" t="s">
        <v>1578</v>
      </c>
      <c r="C887">
        <v>55</v>
      </c>
      <c r="D887" t="s">
        <v>19</v>
      </c>
      <c r="E887" s="2">
        <v>45494</v>
      </c>
      <c r="F887" s="2">
        <v>45500</v>
      </c>
      <c r="G887" t="s">
        <v>14</v>
      </c>
      <c r="H887" t="s">
        <v>112</v>
      </c>
      <c r="I887" s="3">
        <v>16685.38</v>
      </c>
      <c r="J887" s="4">
        <v>90</v>
      </c>
      <c r="K887" t="s">
        <v>26</v>
      </c>
      <c r="L887">
        <f t="shared" si="26"/>
        <v>6</v>
      </c>
      <c r="M887" t="str">
        <f t="shared" si="27"/>
        <v>50–64</v>
      </c>
    </row>
    <row r="888" spans="1:13">
      <c r="A888" t="s">
        <v>1579</v>
      </c>
      <c r="B888" t="s">
        <v>18</v>
      </c>
      <c r="C888">
        <v>43</v>
      </c>
      <c r="D888" t="s">
        <v>19</v>
      </c>
      <c r="E888" s="2">
        <v>45450</v>
      </c>
      <c r="F888" s="2">
        <v>45455</v>
      </c>
      <c r="G888" t="s">
        <v>61</v>
      </c>
      <c r="H888" t="s">
        <v>98</v>
      </c>
      <c r="I888" s="3">
        <v>12448.18</v>
      </c>
      <c r="J888" s="4">
        <v>90</v>
      </c>
      <c r="K888" t="s">
        <v>16</v>
      </c>
      <c r="L888">
        <f t="shared" si="26"/>
        <v>5</v>
      </c>
      <c r="M888" t="str">
        <f t="shared" si="27"/>
        <v>35–49</v>
      </c>
    </row>
    <row r="889" spans="1:13">
      <c r="A889" t="s">
        <v>1580</v>
      </c>
      <c r="B889" t="s">
        <v>383</v>
      </c>
      <c r="C889">
        <v>58</v>
      </c>
      <c r="D889" t="s">
        <v>19</v>
      </c>
      <c r="E889" s="2">
        <v>45541</v>
      </c>
      <c r="F889" s="2">
        <v>45544</v>
      </c>
      <c r="G889" t="s">
        <v>71</v>
      </c>
      <c r="H889" t="s">
        <v>296</v>
      </c>
      <c r="I889" s="3">
        <v>7181.24</v>
      </c>
      <c r="J889" s="4">
        <v>80</v>
      </c>
      <c r="K889" t="s">
        <v>16</v>
      </c>
      <c r="L889">
        <f t="shared" si="26"/>
        <v>3</v>
      </c>
      <c r="M889" t="str">
        <f t="shared" si="27"/>
        <v>50–64</v>
      </c>
    </row>
    <row r="890" spans="1:13">
      <c r="A890" t="s">
        <v>1581</v>
      </c>
      <c r="B890" t="s">
        <v>1526</v>
      </c>
      <c r="C890">
        <v>51</v>
      </c>
      <c r="D890" t="s">
        <v>19</v>
      </c>
      <c r="E890" s="2">
        <v>45977</v>
      </c>
      <c r="F890" s="2">
        <v>45987</v>
      </c>
      <c r="G890" t="s">
        <v>71</v>
      </c>
      <c r="H890" t="s">
        <v>72</v>
      </c>
      <c r="I890" s="3">
        <v>12719.1</v>
      </c>
      <c r="J890" s="4">
        <v>80</v>
      </c>
      <c r="K890" t="s">
        <v>21</v>
      </c>
      <c r="L890">
        <f t="shared" si="26"/>
        <v>10</v>
      </c>
      <c r="M890" t="str">
        <f t="shared" si="27"/>
        <v>50–64</v>
      </c>
    </row>
    <row r="891" spans="1:13">
      <c r="A891" t="s">
        <v>1582</v>
      </c>
      <c r="B891" t="s">
        <v>1583</v>
      </c>
      <c r="C891">
        <v>19</v>
      </c>
      <c r="D891" t="s">
        <v>19</v>
      </c>
      <c r="E891" s="2">
        <v>45489</v>
      </c>
      <c r="F891" s="2">
        <v>45494</v>
      </c>
      <c r="G891" t="s">
        <v>32</v>
      </c>
      <c r="H891" t="s">
        <v>54</v>
      </c>
      <c r="I891" s="3">
        <v>3960.59</v>
      </c>
      <c r="J891" s="4">
        <v>70</v>
      </c>
      <c r="K891" t="s">
        <v>26</v>
      </c>
      <c r="L891">
        <f t="shared" si="26"/>
        <v>5</v>
      </c>
      <c r="M891" t="str">
        <f t="shared" si="27"/>
        <v>18–34</v>
      </c>
    </row>
    <row r="892" spans="1:13">
      <c r="A892" t="s">
        <v>1584</v>
      </c>
      <c r="B892" t="s">
        <v>1585</v>
      </c>
      <c r="C892">
        <v>73</v>
      </c>
      <c r="D892" t="s">
        <v>13</v>
      </c>
      <c r="E892" s="2">
        <v>45801</v>
      </c>
      <c r="F892" s="2">
        <v>45814</v>
      </c>
      <c r="G892" t="s">
        <v>61</v>
      </c>
      <c r="H892" t="s">
        <v>134</v>
      </c>
      <c r="I892" s="3">
        <v>32658.41</v>
      </c>
      <c r="J892" s="4">
        <v>100</v>
      </c>
      <c r="K892" t="s">
        <v>16</v>
      </c>
      <c r="L892">
        <f t="shared" si="26"/>
        <v>13</v>
      </c>
      <c r="M892" t="str">
        <f t="shared" si="27"/>
        <v>65+</v>
      </c>
    </row>
    <row r="893" spans="1:13">
      <c r="A893" t="s">
        <v>1586</v>
      </c>
      <c r="B893" t="s">
        <v>1587</v>
      </c>
      <c r="C893">
        <v>53</v>
      </c>
      <c r="D893" t="s">
        <v>13</v>
      </c>
      <c r="E893" s="2">
        <v>45661</v>
      </c>
      <c r="F893" s="2">
        <v>45664</v>
      </c>
      <c r="G893" t="s">
        <v>24</v>
      </c>
      <c r="H893" t="s">
        <v>205</v>
      </c>
      <c r="I893" s="3">
        <v>4283.7</v>
      </c>
      <c r="J893" s="4">
        <v>70</v>
      </c>
      <c r="K893" t="s">
        <v>26</v>
      </c>
      <c r="L893">
        <f t="shared" si="26"/>
        <v>3</v>
      </c>
      <c r="M893" t="str">
        <f t="shared" si="27"/>
        <v>50–64</v>
      </c>
    </row>
    <row r="894" spans="1:13">
      <c r="A894" t="s">
        <v>1588</v>
      </c>
      <c r="B894" t="s">
        <v>685</v>
      </c>
      <c r="C894">
        <v>52</v>
      </c>
      <c r="D894" t="s">
        <v>13</v>
      </c>
      <c r="E894" s="2">
        <v>45481</v>
      </c>
      <c r="F894" s="2">
        <v>45483</v>
      </c>
      <c r="G894" t="s">
        <v>61</v>
      </c>
      <c r="H894" t="s">
        <v>78</v>
      </c>
      <c r="I894" s="3">
        <v>5291.81</v>
      </c>
      <c r="J894" s="4">
        <v>50</v>
      </c>
      <c r="K894" t="s">
        <v>16</v>
      </c>
      <c r="L894">
        <f t="shared" si="26"/>
        <v>2</v>
      </c>
      <c r="M894" t="str">
        <f t="shared" si="27"/>
        <v>50–64</v>
      </c>
    </row>
    <row r="895" spans="1:13">
      <c r="A895" t="s">
        <v>1589</v>
      </c>
      <c r="B895" t="s">
        <v>1443</v>
      </c>
      <c r="C895">
        <v>80</v>
      </c>
      <c r="D895" t="s">
        <v>19</v>
      </c>
      <c r="E895" s="2">
        <v>45623</v>
      </c>
      <c r="F895" s="2">
        <v>45629</v>
      </c>
      <c r="G895" t="s">
        <v>32</v>
      </c>
      <c r="H895" t="s">
        <v>36</v>
      </c>
      <c r="I895" s="3">
        <v>3170.27</v>
      </c>
      <c r="J895" s="4">
        <v>90</v>
      </c>
      <c r="K895" t="s">
        <v>16</v>
      </c>
      <c r="L895">
        <f t="shared" si="26"/>
        <v>6</v>
      </c>
      <c r="M895" t="str">
        <f t="shared" si="27"/>
        <v>65+</v>
      </c>
    </row>
    <row r="896" spans="1:13">
      <c r="A896" t="s">
        <v>1590</v>
      </c>
      <c r="B896" t="s">
        <v>1591</v>
      </c>
      <c r="C896">
        <v>32</v>
      </c>
      <c r="D896" t="s">
        <v>13</v>
      </c>
      <c r="E896" s="2">
        <v>45518</v>
      </c>
      <c r="F896" s="2">
        <v>45525</v>
      </c>
      <c r="G896" t="s">
        <v>32</v>
      </c>
      <c r="H896" t="s">
        <v>115</v>
      </c>
      <c r="I896" s="3">
        <v>6978.9</v>
      </c>
      <c r="J896" s="4">
        <v>90</v>
      </c>
      <c r="K896" t="s">
        <v>21</v>
      </c>
      <c r="L896">
        <f t="shared" si="26"/>
        <v>7</v>
      </c>
      <c r="M896" t="str">
        <f t="shared" si="27"/>
        <v>18–34</v>
      </c>
    </row>
    <row r="897" spans="1:13">
      <c r="A897" t="s">
        <v>1592</v>
      </c>
      <c r="B897" t="s">
        <v>1164</v>
      </c>
      <c r="C897">
        <v>63</v>
      </c>
      <c r="D897" t="s">
        <v>19</v>
      </c>
      <c r="E897" s="2">
        <v>45527</v>
      </c>
      <c r="F897" s="2">
        <v>45533</v>
      </c>
      <c r="G897" t="s">
        <v>32</v>
      </c>
      <c r="H897" t="s">
        <v>88</v>
      </c>
      <c r="I897" s="3">
        <v>4868.46</v>
      </c>
      <c r="J897" s="4">
        <v>80</v>
      </c>
      <c r="K897" t="s">
        <v>16</v>
      </c>
      <c r="L897">
        <f t="shared" si="26"/>
        <v>6</v>
      </c>
      <c r="M897" t="str">
        <f t="shared" si="27"/>
        <v>50–64</v>
      </c>
    </row>
    <row r="898" spans="1:13">
      <c r="A898" t="s">
        <v>1593</v>
      </c>
      <c r="B898" t="s">
        <v>574</v>
      </c>
      <c r="C898">
        <v>58</v>
      </c>
      <c r="D898" t="s">
        <v>13</v>
      </c>
      <c r="E898" s="2">
        <v>45833</v>
      </c>
      <c r="F898" s="2">
        <v>45847</v>
      </c>
      <c r="G898" t="s">
        <v>61</v>
      </c>
      <c r="H898" t="s">
        <v>62</v>
      </c>
      <c r="I898" s="3">
        <v>34197.050000000003</v>
      </c>
      <c r="J898" s="4">
        <v>80</v>
      </c>
      <c r="K898" t="s">
        <v>16</v>
      </c>
      <c r="L898">
        <f t="shared" si="26"/>
        <v>14</v>
      </c>
      <c r="M898" t="str">
        <f t="shared" si="27"/>
        <v>50–64</v>
      </c>
    </row>
    <row r="899" spans="1:13">
      <c r="A899" t="s">
        <v>1594</v>
      </c>
      <c r="B899" t="s">
        <v>1595</v>
      </c>
      <c r="C899">
        <v>60</v>
      </c>
      <c r="D899" t="s">
        <v>19</v>
      </c>
      <c r="E899" s="2">
        <v>45331</v>
      </c>
      <c r="F899" s="2">
        <v>45332</v>
      </c>
      <c r="G899" t="s">
        <v>32</v>
      </c>
      <c r="H899" t="s">
        <v>115</v>
      </c>
      <c r="I899" s="3">
        <v>647.75</v>
      </c>
      <c r="J899" s="4">
        <v>80</v>
      </c>
      <c r="K899" t="s">
        <v>16</v>
      </c>
      <c r="L899">
        <f t="shared" ref="L899:L962" si="28">F899-E899</f>
        <v>1</v>
      </c>
      <c r="M899" t="str">
        <f t="shared" ref="M899:M962" si="29">IF(C899&lt;=17,"0–17",IF(C899&lt;=34,"18–34",IF(C899&lt;=49,"35–49",IF(C899&lt;=64,"50–64","65+"))))</f>
        <v>50–64</v>
      </c>
    </row>
    <row r="900" spans="1:13">
      <c r="A900" t="s">
        <v>1596</v>
      </c>
      <c r="B900" t="s">
        <v>1597</v>
      </c>
      <c r="C900">
        <v>5</v>
      </c>
      <c r="D900" t="s">
        <v>19</v>
      </c>
      <c r="E900" s="2">
        <v>45461</v>
      </c>
      <c r="F900" s="2">
        <v>45466</v>
      </c>
      <c r="G900" t="s">
        <v>50</v>
      </c>
      <c r="H900" t="s">
        <v>124</v>
      </c>
      <c r="I900" s="3">
        <v>3913.66</v>
      </c>
      <c r="J900" s="4">
        <v>90</v>
      </c>
      <c r="K900" t="s">
        <v>21</v>
      </c>
      <c r="L900">
        <f t="shared" si="28"/>
        <v>5</v>
      </c>
      <c r="M900" t="str">
        <f t="shared" si="29"/>
        <v>0–17</v>
      </c>
    </row>
    <row r="901" spans="1:13">
      <c r="A901" t="s">
        <v>1598</v>
      </c>
      <c r="B901" t="s">
        <v>475</v>
      </c>
      <c r="C901">
        <v>8</v>
      </c>
      <c r="D901" t="s">
        <v>13</v>
      </c>
      <c r="E901" s="2">
        <v>45717</v>
      </c>
      <c r="F901" s="2">
        <v>45722</v>
      </c>
      <c r="G901" t="s">
        <v>50</v>
      </c>
      <c r="H901" t="s">
        <v>121</v>
      </c>
      <c r="I901" s="3">
        <v>8364.6200000000008</v>
      </c>
      <c r="J901" s="4">
        <v>100</v>
      </c>
      <c r="K901" t="s">
        <v>16</v>
      </c>
      <c r="L901">
        <f t="shared" si="28"/>
        <v>5</v>
      </c>
      <c r="M901" t="str">
        <f t="shared" si="29"/>
        <v>0–17</v>
      </c>
    </row>
    <row r="902" spans="1:13">
      <c r="A902" t="s">
        <v>1599</v>
      </c>
      <c r="B902" t="s">
        <v>1600</v>
      </c>
      <c r="C902">
        <v>8</v>
      </c>
      <c r="D902" t="s">
        <v>19</v>
      </c>
      <c r="E902" s="2">
        <v>45991</v>
      </c>
      <c r="F902" s="2">
        <v>45992</v>
      </c>
      <c r="G902" t="s">
        <v>50</v>
      </c>
      <c r="H902" t="s">
        <v>124</v>
      </c>
      <c r="I902" s="3">
        <v>750.94</v>
      </c>
      <c r="J902" s="4">
        <v>60</v>
      </c>
      <c r="K902" t="s">
        <v>21</v>
      </c>
      <c r="L902">
        <f t="shared" si="28"/>
        <v>1</v>
      </c>
      <c r="M902" t="str">
        <f t="shared" si="29"/>
        <v>0–17</v>
      </c>
    </row>
    <row r="903" spans="1:13">
      <c r="A903" t="s">
        <v>1601</v>
      </c>
      <c r="B903" t="s">
        <v>107</v>
      </c>
      <c r="C903">
        <v>21</v>
      </c>
      <c r="D903" t="s">
        <v>19</v>
      </c>
      <c r="E903" s="2">
        <v>45915</v>
      </c>
      <c r="F903" s="2">
        <v>45916</v>
      </c>
      <c r="G903" t="s">
        <v>24</v>
      </c>
      <c r="H903" t="s">
        <v>205</v>
      </c>
      <c r="I903" s="3">
        <v>1602.23</v>
      </c>
      <c r="J903" s="4">
        <v>90</v>
      </c>
      <c r="K903" t="s">
        <v>16</v>
      </c>
      <c r="L903">
        <f t="shared" si="28"/>
        <v>1</v>
      </c>
      <c r="M903" t="str">
        <f t="shared" si="29"/>
        <v>18–34</v>
      </c>
    </row>
    <row r="904" spans="1:13">
      <c r="A904" t="s">
        <v>1602</v>
      </c>
      <c r="B904" t="s">
        <v>1603</v>
      </c>
      <c r="C904">
        <v>26</v>
      </c>
      <c r="D904" t="s">
        <v>13</v>
      </c>
      <c r="E904" s="2">
        <v>46019</v>
      </c>
      <c r="F904" s="2">
        <v>46022</v>
      </c>
      <c r="G904" t="s">
        <v>61</v>
      </c>
      <c r="H904" t="s">
        <v>78</v>
      </c>
      <c r="I904" s="3">
        <v>3905.3</v>
      </c>
      <c r="J904" s="4">
        <v>80</v>
      </c>
      <c r="K904" t="s">
        <v>21</v>
      </c>
      <c r="L904">
        <f t="shared" si="28"/>
        <v>3</v>
      </c>
      <c r="M904" t="str">
        <f t="shared" si="29"/>
        <v>18–34</v>
      </c>
    </row>
    <row r="905" spans="1:13">
      <c r="A905" t="s">
        <v>1604</v>
      </c>
      <c r="B905" t="s">
        <v>625</v>
      </c>
      <c r="C905">
        <v>56</v>
      </c>
      <c r="D905" t="s">
        <v>13</v>
      </c>
      <c r="E905" s="2">
        <v>45716</v>
      </c>
      <c r="F905" s="2">
        <v>45720</v>
      </c>
      <c r="G905" t="s">
        <v>14</v>
      </c>
      <c r="H905" t="s">
        <v>39</v>
      </c>
      <c r="I905" s="3">
        <v>10882.46</v>
      </c>
      <c r="J905" s="4">
        <v>0</v>
      </c>
      <c r="K905" t="s">
        <v>26</v>
      </c>
      <c r="L905">
        <f t="shared" si="28"/>
        <v>4</v>
      </c>
      <c r="M905" t="str">
        <f t="shared" si="29"/>
        <v>50–64</v>
      </c>
    </row>
    <row r="906" spans="1:13">
      <c r="A906" t="s">
        <v>1605</v>
      </c>
      <c r="B906" t="s">
        <v>1606</v>
      </c>
      <c r="C906">
        <v>40</v>
      </c>
      <c r="D906" t="s">
        <v>19</v>
      </c>
      <c r="E906" s="2">
        <v>45992</v>
      </c>
      <c r="F906" s="2">
        <v>45996</v>
      </c>
      <c r="G906" t="s">
        <v>32</v>
      </c>
      <c r="H906" t="s">
        <v>54</v>
      </c>
      <c r="I906" s="3">
        <v>3645.87</v>
      </c>
      <c r="J906" s="4">
        <v>70</v>
      </c>
      <c r="K906" t="s">
        <v>21</v>
      </c>
      <c r="L906">
        <f t="shared" si="28"/>
        <v>4</v>
      </c>
      <c r="M906" t="str">
        <f t="shared" si="29"/>
        <v>35–49</v>
      </c>
    </row>
    <row r="907" spans="1:13">
      <c r="A907" t="s">
        <v>1607</v>
      </c>
      <c r="B907" t="s">
        <v>1608</v>
      </c>
      <c r="C907">
        <v>40</v>
      </c>
      <c r="D907" t="s">
        <v>19</v>
      </c>
      <c r="E907" s="2">
        <v>45754</v>
      </c>
      <c r="F907" s="2">
        <v>45760</v>
      </c>
      <c r="G907" t="s">
        <v>32</v>
      </c>
      <c r="H907" t="s">
        <v>235</v>
      </c>
      <c r="I907" s="3">
        <v>5871.8</v>
      </c>
      <c r="J907" s="4">
        <v>90</v>
      </c>
      <c r="K907" t="s">
        <v>26</v>
      </c>
      <c r="L907">
        <f t="shared" si="28"/>
        <v>6</v>
      </c>
      <c r="M907" t="str">
        <f t="shared" si="29"/>
        <v>35–49</v>
      </c>
    </row>
    <row r="908" spans="1:13">
      <c r="A908" t="s">
        <v>1609</v>
      </c>
      <c r="B908" t="s">
        <v>751</v>
      </c>
      <c r="C908">
        <v>34</v>
      </c>
      <c r="D908" t="s">
        <v>19</v>
      </c>
      <c r="E908" s="2">
        <v>45326</v>
      </c>
      <c r="F908" s="2">
        <v>45329</v>
      </c>
      <c r="G908" t="s">
        <v>32</v>
      </c>
      <c r="H908" t="s">
        <v>115</v>
      </c>
      <c r="I908" s="3">
        <v>2527.5100000000002</v>
      </c>
      <c r="J908" s="4">
        <v>60</v>
      </c>
      <c r="K908" t="s">
        <v>21</v>
      </c>
      <c r="L908">
        <f t="shared" si="28"/>
        <v>3</v>
      </c>
      <c r="M908" t="str">
        <f t="shared" si="29"/>
        <v>18–34</v>
      </c>
    </row>
    <row r="909" spans="1:13">
      <c r="A909" t="s">
        <v>1610</v>
      </c>
      <c r="B909" t="s">
        <v>230</v>
      </c>
      <c r="C909">
        <v>40</v>
      </c>
      <c r="D909" t="s">
        <v>19</v>
      </c>
      <c r="E909" s="2">
        <v>45518</v>
      </c>
      <c r="F909" s="2">
        <v>45524</v>
      </c>
      <c r="G909" t="s">
        <v>14</v>
      </c>
      <c r="H909" t="s">
        <v>15</v>
      </c>
      <c r="I909" s="3">
        <v>11311.32</v>
      </c>
      <c r="J909" s="4">
        <v>100</v>
      </c>
      <c r="K909" t="s">
        <v>21</v>
      </c>
      <c r="L909">
        <f t="shared" si="28"/>
        <v>6</v>
      </c>
      <c r="M909" t="str">
        <f t="shared" si="29"/>
        <v>35–49</v>
      </c>
    </row>
    <row r="910" spans="1:13">
      <c r="A910" t="s">
        <v>1611</v>
      </c>
      <c r="B910" t="s">
        <v>1612</v>
      </c>
      <c r="C910">
        <v>35</v>
      </c>
      <c r="D910" t="s">
        <v>13</v>
      </c>
      <c r="E910" s="2">
        <v>45447</v>
      </c>
      <c r="F910" s="2">
        <v>45453</v>
      </c>
      <c r="G910" t="s">
        <v>61</v>
      </c>
      <c r="H910" t="s">
        <v>134</v>
      </c>
      <c r="I910" s="3">
        <v>14294.04</v>
      </c>
      <c r="J910" s="4">
        <v>80</v>
      </c>
      <c r="K910" t="s">
        <v>16</v>
      </c>
      <c r="L910">
        <f t="shared" si="28"/>
        <v>6</v>
      </c>
      <c r="M910" t="str">
        <f t="shared" si="29"/>
        <v>35–49</v>
      </c>
    </row>
    <row r="911" spans="1:13">
      <c r="A911" t="s">
        <v>1613</v>
      </c>
      <c r="B911" t="s">
        <v>1614</v>
      </c>
      <c r="C911">
        <v>15</v>
      </c>
      <c r="D911" t="s">
        <v>19</v>
      </c>
      <c r="E911" s="2">
        <v>45831</v>
      </c>
      <c r="F911" s="2">
        <v>45833</v>
      </c>
      <c r="G911" t="s">
        <v>50</v>
      </c>
      <c r="H911" t="s">
        <v>121</v>
      </c>
      <c r="I911" s="3">
        <v>3325.48</v>
      </c>
      <c r="J911" s="4">
        <v>60</v>
      </c>
      <c r="K911" t="s">
        <v>16</v>
      </c>
      <c r="L911">
        <f t="shared" si="28"/>
        <v>2</v>
      </c>
      <c r="M911" t="str">
        <f t="shared" si="29"/>
        <v>0–17</v>
      </c>
    </row>
    <row r="912" spans="1:13">
      <c r="A912" t="s">
        <v>1615</v>
      </c>
      <c r="B912" t="s">
        <v>1612</v>
      </c>
      <c r="C912">
        <v>84</v>
      </c>
      <c r="D912" t="s">
        <v>13</v>
      </c>
      <c r="E912" s="2">
        <v>46011</v>
      </c>
      <c r="F912" s="2">
        <v>46012</v>
      </c>
      <c r="G912" t="s">
        <v>32</v>
      </c>
      <c r="H912" t="s">
        <v>45</v>
      </c>
      <c r="I912" s="3">
        <v>583.35</v>
      </c>
      <c r="J912" s="4">
        <v>50</v>
      </c>
      <c r="K912" t="s">
        <v>26</v>
      </c>
      <c r="L912">
        <f t="shared" si="28"/>
        <v>1</v>
      </c>
      <c r="M912" t="str">
        <f t="shared" si="29"/>
        <v>65+</v>
      </c>
    </row>
    <row r="913" spans="1:13">
      <c r="A913" t="s">
        <v>1616</v>
      </c>
      <c r="B913" t="s">
        <v>951</v>
      </c>
      <c r="C913">
        <v>54</v>
      </c>
      <c r="D913" t="s">
        <v>13</v>
      </c>
      <c r="E913" s="2">
        <v>45322</v>
      </c>
      <c r="F913" s="2">
        <v>45328</v>
      </c>
      <c r="G913" t="s">
        <v>32</v>
      </c>
      <c r="H913" t="s">
        <v>235</v>
      </c>
      <c r="I913" s="3">
        <v>6644.98</v>
      </c>
      <c r="J913" s="4">
        <v>90</v>
      </c>
      <c r="K913" t="s">
        <v>16</v>
      </c>
      <c r="L913">
        <f t="shared" si="28"/>
        <v>6</v>
      </c>
      <c r="M913" t="str">
        <f t="shared" si="29"/>
        <v>50–64</v>
      </c>
    </row>
    <row r="914" spans="1:13">
      <c r="A914" t="s">
        <v>1617</v>
      </c>
      <c r="B914" t="s">
        <v>66</v>
      </c>
      <c r="C914">
        <v>75</v>
      </c>
      <c r="D914" t="s">
        <v>13</v>
      </c>
      <c r="E914" s="2">
        <v>45840</v>
      </c>
      <c r="F914" s="2">
        <v>45844</v>
      </c>
      <c r="G914" t="s">
        <v>61</v>
      </c>
      <c r="H914" t="s">
        <v>62</v>
      </c>
      <c r="I914" s="3">
        <v>6709.11</v>
      </c>
      <c r="J914" s="4">
        <v>80</v>
      </c>
      <c r="K914" t="s">
        <v>26</v>
      </c>
      <c r="L914">
        <f t="shared" si="28"/>
        <v>4</v>
      </c>
      <c r="M914" t="str">
        <f t="shared" si="29"/>
        <v>65+</v>
      </c>
    </row>
    <row r="915" spans="1:13">
      <c r="A915" t="s">
        <v>1618</v>
      </c>
      <c r="B915" t="s">
        <v>1289</v>
      </c>
      <c r="C915">
        <v>32</v>
      </c>
      <c r="D915" t="s">
        <v>13</v>
      </c>
      <c r="E915" s="2">
        <v>45385</v>
      </c>
      <c r="F915" s="2">
        <v>45389</v>
      </c>
      <c r="G915" t="s">
        <v>71</v>
      </c>
      <c r="H915" t="s">
        <v>158</v>
      </c>
      <c r="I915" s="3">
        <v>7216.27</v>
      </c>
      <c r="J915" s="4">
        <v>80</v>
      </c>
      <c r="K915" t="s">
        <v>21</v>
      </c>
      <c r="L915">
        <f t="shared" si="28"/>
        <v>4</v>
      </c>
      <c r="M915" t="str">
        <f t="shared" si="29"/>
        <v>18–34</v>
      </c>
    </row>
    <row r="916" spans="1:13">
      <c r="A916" t="s">
        <v>1619</v>
      </c>
      <c r="B916" t="s">
        <v>1620</v>
      </c>
      <c r="C916">
        <v>45</v>
      </c>
      <c r="D916" t="s">
        <v>13</v>
      </c>
      <c r="E916" s="2">
        <v>45737</v>
      </c>
      <c r="F916" s="2">
        <v>45746</v>
      </c>
      <c r="G916" t="s">
        <v>71</v>
      </c>
      <c r="H916" t="s">
        <v>238</v>
      </c>
      <c r="I916" s="3">
        <v>13906.96</v>
      </c>
      <c r="J916" s="4">
        <v>80</v>
      </c>
      <c r="K916" t="s">
        <v>16</v>
      </c>
      <c r="L916">
        <f t="shared" si="28"/>
        <v>9</v>
      </c>
      <c r="M916" t="str">
        <f t="shared" si="29"/>
        <v>35–49</v>
      </c>
    </row>
    <row r="917" spans="1:13">
      <c r="A917" t="s">
        <v>1621</v>
      </c>
      <c r="B917" t="s">
        <v>1622</v>
      </c>
      <c r="C917">
        <v>68</v>
      </c>
      <c r="D917" t="s">
        <v>13</v>
      </c>
      <c r="E917" s="2">
        <v>45878</v>
      </c>
      <c r="F917" s="2">
        <v>45888</v>
      </c>
      <c r="G917" t="s">
        <v>61</v>
      </c>
      <c r="H917" t="s">
        <v>98</v>
      </c>
      <c r="I917" s="3">
        <v>19370.95</v>
      </c>
      <c r="J917" s="4">
        <v>70</v>
      </c>
      <c r="K917" t="s">
        <v>21</v>
      </c>
      <c r="L917">
        <f t="shared" si="28"/>
        <v>10</v>
      </c>
      <c r="M917" t="str">
        <f t="shared" si="29"/>
        <v>65+</v>
      </c>
    </row>
    <row r="918" spans="1:13">
      <c r="A918" t="s">
        <v>1623</v>
      </c>
      <c r="B918" t="s">
        <v>1624</v>
      </c>
      <c r="C918">
        <v>42</v>
      </c>
      <c r="D918" t="s">
        <v>19</v>
      </c>
      <c r="E918" s="2">
        <v>45452</v>
      </c>
      <c r="F918" s="2">
        <v>45459</v>
      </c>
      <c r="G918" t="s">
        <v>32</v>
      </c>
      <c r="H918" t="s">
        <v>54</v>
      </c>
      <c r="I918" s="3">
        <v>4618.17</v>
      </c>
      <c r="J918" s="4">
        <v>50</v>
      </c>
      <c r="K918" t="s">
        <v>26</v>
      </c>
      <c r="L918">
        <f t="shared" si="28"/>
        <v>7</v>
      </c>
      <c r="M918" t="str">
        <f t="shared" si="29"/>
        <v>35–49</v>
      </c>
    </row>
    <row r="919" spans="1:13">
      <c r="A919" t="s">
        <v>1625</v>
      </c>
      <c r="B919" t="s">
        <v>1129</v>
      </c>
      <c r="C919">
        <v>35</v>
      </c>
      <c r="D919" t="s">
        <v>13</v>
      </c>
      <c r="E919" s="2">
        <v>45661</v>
      </c>
      <c r="F919" s="2">
        <v>45664</v>
      </c>
      <c r="G919" t="s">
        <v>32</v>
      </c>
      <c r="H919" t="s">
        <v>54</v>
      </c>
      <c r="I919" s="3">
        <v>4249.75</v>
      </c>
      <c r="J919" s="4">
        <v>70</v>
      </c>
      <c r="K919" t="s">
        <v>26</v>
      </c>
      <c r="L919">
        <f t="shared" si="28"/>
        <v>3</v>
      </c>
      <c r="M919" t="str">
        <f t="shared" si="29"/>
        <v>35–49</v>
      </c>
    </row>
    <row r="920" spans="1:13">
      <c r="A920" t="s">
        <v>1626</v>
      </c>
      <c r="B920" t="s">
        <v>593</v>
      </c>
      <c r="C920">
        <v>60</v>
      </c>
      <c r="D920" t="s">
        <v>13</v>
      </c>
      <c r="E920" s="2">
        <v>45293</v>
      </c>
      <c r="F920" s="2">
        <v>45297</v>
      </c>
      <c r="G920" t="s">
        <v>14</v>
      </c>
      <c r="H920" t="s">
        <v>15</v>
      </c>
      <c r="I920" s="3">
        <v>6532.53</v>
      </c>
      <c r="J920" s="4">
        <v>80</v>
      </c>
      <c r="K920" t="s">
        <v>26</v>
      </c>
      <c r="L920">
        <f t="shared" si="28"/>
        <v>4</v>
      </c>
      <c r="M920" t="str">
        <f t="shared" si="29"/>
        <v>50–64</v>
      </c>
    </row>
    <row r="921" spans="1:13">
      <c r="A921" t="s">
        <v>1627</v>
      </c>
      <c r="B921" t="s">
        <v>815</v>
      </c>
      <c r="C921">
        <v>60</v>
      </c>
      <c r="D921" t="s">
        <v>19</v>
      </c>
      <c r="E921" s="2">
        <v>45628</v>
      </c>
      <c r="F921" s="2">
        <v>45633</v>
      </c>
      <c r="G921" t="s">
        <v>71</v>
      </c>
      <c r="H921" t="s">
        <v>296</v>
      </c>
      <c r="I921" s="3">
        <v>5729.57</v>
      </c>
      <c r="J921" s="4">
        <v>60</v>
      </c>
      <c r="K921" t="s">
        <v>16</v>
      </c>
      <c r="L921">
        <f t="shared" si="28"/>
        <v>5</v>
      </c>
      <c r="M921" t="str">
        <f t="shared" si="29"/>
        <v>50–64</v>
      </c>
    </row>
    <row r="922" spans="1:13">
      <c r="A922" t="s">
        <v>1628</v>
      </c>
      <c r="B922" t="s">
        <v>64</v>
      </c>
      <c r="C922">
        <v>21</v>
      </c>
      <c r="D922" t="s">
        <v>19</v>
      </c>
      <c r="E922" s="2">
        <v>45813</v>
      </c>
      <c r="F922" s="2">
        <v>45815</v>
      </c>
      <c r="G922" t="s">
        <v>32</v>
      </c>
      <c r="H922" t="s">
        <v>88</v>
      </c>
      <c r="I922" s="3">
        <v>2997.87</v>
      </c>
      <c r="J922" s="4">
        <v>70</v>
      </c>
      <c r="K922" t="s">
        <v>16</v>
      </c>
      <c r="L922">
        <f t="shared" si="28"/>
        <v>2</v>
      </c>
      <c r="M922" t="str">
        <f t="shared" si="29"/>
        <v>18–34</v>
      </c>
    </row>
    <row r="923" spans="1:13">
      <c r="A923" t="s">
        <v>1629</v>
      </c>
      <c r="B923" t="s">
        <v>720</v>
      </c>
      <c r="C923">
        <v>54</v>
      </c>
      <c r="D923" t="s">
        <v>13</v>
      </c>
      <c r="E923" s="2">
        <v>45594</v>
      </c>
      <c r="F923" s="2">
        <v>45600</v>
      </c>
      <c r="G923" t="s">
        <v>32</v>
      </c>
      <c r="H923" t="s">
        <v>54</v>
      </c>
      <c r="I923" s="3">
        <v>7526.27</v>
      </c>
      <c r="J923" s="4">
        <v>80</v>
      </c>
      <c r="K923" t="s">
        <v>16</v>
      </c>
      <c r="L923">
        <f t="shared" si="28"/>
        <v>6</v>
      </c>
      <c r="M923" t="str">
        <f t="shared" si="29"/>
        <v>50–64</v>
      </c>
    </row>
    <row r="924" spans="1:13">
      <c r="A924" t="s">
        <v>1630</v>
      </c>
      <c r="B924" t="s">
        <v>1631</v>
      </c>
      <c r="C924">
        <v>29</v>
      </c>
      <c r="D924" t="s">
        <v>19</v>
      </c>
      <c r="E924" s="2">
        <v>45460</v>
      </c>
      <c r="F924" s="2">
        <v>45462</v>
      </c>
      <c r="G924" t="s">
        <v>24</v>
      </c>
      <c r="H924" t="s">
        <v>25</v>
      </c>
      <c r="I924" s="3">
        <v>4378.0200000000004</v>
      </c>
      <c r="J924" s="4">
        <v>80</v>
      </c>
      <c r="K924" t="s">
        <v>16</v>
      </c>
      <c r="L924">
        <f t="shared" si="28"/>
        <v>2</v>
      </c>
      <c r="M924" t="str">
        <f t="shared" si="29"/>
        <v>18–34</v>
      </c>
    </row>
    <row r="925" spans="1:13">
      <c r="A925" t="s">
        <v>1632</v>
      </c>
      <c r="B925" t="s">
        <v>38</v>
      </c>
      <c r="C925">
        <v>36</v>
      </c>
      <c r="D925" t="s">
        <v>19</v>
      </c>
      <c r="E925" s="2">
        <v>45582</v>
      </c>
      <c r="F925" s="2">
        <v>45590</v>
      </c>
      <c r="G925" t="s">
        <v>61</v>
      </c>
      <c r="H925" t="s">
        <v>143</v>
      </c>
      <c r="I925" s="3">
        <v>17866.580000000002</v>
      </c>
      <c r="J925" s="4">
        <v>90</v>
      </c>
      <c r="K925" t="s">
        <v>26</v>
      </c>
      <c r="L925">
        <f t="shared" si="28"/>
        <v>8</v>
      </c>
      <c r="M925" t="str">
        <f t="shared" si="29"/>
        <v>35–49</v>
      </c>
    </row>
    <row r="926" spans="1:13">
      <c r="A926" t="s">
        <v>1633</v>
      </c>
      <c r="B926" t="s">
        <v>959</v>
      </c>
      <c r="C926">
        <v>79</v>
      </c>
      <c r="D926" t="s">
        <v>13</v>
      </c>
      <c r="E926" s="2">
        <v>45734</v>
      </c>
      <c r="F926" s="2">
        <v>45738</v>
      </c>
      <c r="G926" t="s">
        <v>14</v>
      </c>
      <c r="H926" t="s">
        <v>112</v>
      </c>
      <c r="I926" s="3">
        <v>5517.67</v>
      </c>
      <c r="J926" s="4">
        <v>90</v>
      </c>
      <c r="K926" t="s">
        <v>16</v>
      </c>
      <c r="L926">
        <f t="shared" si="28"/>
        <v>4</v>
      </c>
      <c r="M926" t="str">
        <f t="shared" si="29"/>
        <v>65+</v>
      </c>
    </row>
    <row r="927" spans="1:13">
      <c r="A927" t="s">
        <v>1634</v>
      </c>
      <c r="B927" t="s">
        <v>345</v>
      </c>
      <c r="C927">
        <v>48</v>
      </c>
      <c r="D927" t="s">
        <v>19</v>
      </c>
      <c r="E927" s="2">
        <v>45570</v>
      </c>
      <c r="F927" s="2">
        <v>45577</v>
      </c>
      <c r="G927" t="s">
        <v>71</v>
      </c>
      <c r="H927" t="s">
        <v>195</v>
      </c>
      <c r="I927" s="3">
        <v>14595.77</v>
      </c>
      <c r="J927" s="4">
        <v>80</v>
      </c>
      <c r="K927" t="s">
        <v>16</v>
      </c>
      <c r="L927">
        <f t="shared" si="28"/>
        <v>7</v>
      </c>
      <c r="M927" t="str">
        <f t="shared" si="29"/>
        <v>35–49</v>
      </c>
    </row>
    <row r="928" spans="1:13">
      <c r="A928" t="s">
        <v>1635</v>
      </c>
      <c r="B928" t="s">
        <v>1513</v>
      </c>
      <c r="C928">
        <v>42</v>
      </c>
      <c r="D928" t="s">
        <v>13</v>
      </c>
      <c r="E928" s="2">
        <v>45626</v>
      </c>
      <c r="F928" s="2">
        <v>45627</v>
      </c>
      <c r="G928" t="s">
        <v>32</v>
      </c>
      <c r="H928" t="s">
        <v>45</v>
      </c>
      <c r="I928" s="3">
        <v>543.05999999999995</v>
      </c>
      <c r="J928" s="4">
        <v>50</v>
      </c>
      <c r="K928" t="s">
        <v>16</v>
      </c>
      <c r="L928">
        <f t="shared" si="28"/>
        <v>1</v>
      </c>
      <c r="M928" t="str">
        <f t="shared" si="29"/>
        <v>35–49</v>
      </c>
    </row>
    <row r="929" spans="1:13">
      <c r="A929" t="s">
        <v>1636</v>
      </c>
      <c r="B929" t="s">
        <v>539</v>
      </c>
      <c r="C929">
        <v>25</v>
      </c>
      <c r="D929" t="s">
        <v>19</v>
      </c>
      <c r="E929" s="2">
        <v>45316</v>
      </c>
      <c r="F929" s="2">
        <v>45321</v>
      </c>
      <c r="G929" t="s">
        <v>61</v>
      </c>
      <c r="H929" t="s">
        <v>75</v>
      </c>
      <c r="I929" s="3">
        <v>5082.0600000000004</v>
      </c>
      <c r="J929" s="4">
        <v>0</v>
      </c>
      <c r="K929" t="s">
        <v>21</v>
      </c>
      <c r="L929">
        <f t="shared" si="28"/>
        <v>5</v>
      </c>
      <c r="M929" t="str">
        <f t="shared" si="29"/>
        <v>18–34</v>
      </c>
    </row>
    <row r="930" spans="1:13">
      <c r="A930" t="s">
        <v>1637</v>
      </c>
      <c r="B930" t="s">
        <v>1638</v>
      </c>
      <c r="C930">
        <v>38</v>
      </c>
      <c r="D930" t="s">
        <v>13</v>
      </c>
      <c r="E930" s="2">
        <v>45846</v>
      </c>
      <c r="F930" s="2">
        <v>45848</v>
      </c>
      <c r="G930" t="s">
        <v>24</v>
      </c>
      <c r="H930" t="s">
        <v>205</v>
      </c>
      <c r="I930" s="3">
        <v>2871.13</v>
      </c>
      <c r="J930" s="4">
        <v>90</v>
      </c>
      <c r="K930" t="s">
        <v>16</v>
      </c>
      <c r="L930">
        <f t="shared" si="28"/>
        <v>2</v>
      </c>
      <c r="M930" t="str">
        <f t="shared" si="29"/>
        <v>35–49</v>
      </c>
    </row>
    <row r="931" spans="1:13">
      <c r="A931" t="s">
        <v>1639</v>
      </c>
      <c r="B931" t="s">
        <v>1640</v>
      </c>
      <c r="C931">
        <v>67</v>
      </c>
      <c r="D931" t="s">
        <v>19</v>
      </c>
      <c r="E931" s="2">
        <v>45643</v>
      </c>
      <c r="F931" s="2">
        <v>45645</v>
      </c>
      <c r="G931" t="s">
        <v>61</v>
      </c>
      <c r="H931" t="s">
        <v>98</v>
      </c>
      <c r="I931" s="3">
        <v>4425.1499999999996</v>
      </c>
      <c r="J931" s="4">
        <v>70</v>
      </c>
      <c r="K931" t="s">
        <v>16</v>
      </c>
      <c r="L931">
        <f t="shared" si="28"/>
        <v>2</v>
      </c>
      <c r="M931" t="str">
        <f t="shared" si="29"/>
        <v>65+</v>
      </c>
    </row>
    <row r="932" spans="1:13">
      <c r="A932" t="s">
        <v>1641</v>
      </c>
      <c r="B932" t="s">
        <v>1642</v>
      </c>
      <c r="C932">
        <v>28</v>
      </c>
      <c r="D932" t="s">
        <v>19</v>
      </c>
      <c r="E932" s="2">
        <v>45661</v>
      </c>
      <c r="F932" s="2">
        <v>45662</v>
      </c>
      <c r="G932" t="s">
        <v>24</v>
      </c>
      <c r="H932" t="s">
        <v>42</v>
      </c>
      <c r="I932" s="3">
        <v>1958.56</v>
      </c>
      <c r="J932" s="4">
        <v>80</v>
      </c>
      <c r="K932" t="s">
        <v>16</v>
      </c>
      <c r="L932">
        <f t="shared" si="28"/>
        <v>1</v>
      </c>
      <c r="M932" t="str">
        <f t="shared" si="29"/>
        <v>18–34</v>
      </c>
    </row>
    <row r="933" spans="1:13">
      <c r="A933" t="s">
        <v>1643</v>
      </c>
      <c r="B933" t="s">
        <v>1644</v>
      </c>
      <c r="C933">
        <v>68</v>
      </c>
      <c r="D933" t="s">
        <v>13</v>
      </c>
      <c r="E933" s="2">
        <v>45767</v>
      </c>
      <c r="F933" s="2">
        <v>45769</v>
      </c>
      <c r="G933" t="s">
        <v>32</v>
      </c>
      <c r="H933" t="s">
        <v>45</v>
      </c>
      <c r="I933" s="3">
        <v>2268.81</v>
      </c>
      <c r="J933" s="4">
        <v>80</v>
      </c>
      <c r="K933" t="s">
        <v>16</v>
      </c>
      <c r="L933">
        <f t="shared" si="28"/>
        <v>2</v>
      </c>
      <c r="M933" t="str">
        <f t="shared" si="29"/>
        <v>65+</v>
      </c>
    </row>
    <row r="934" spans="1:13">
      <c r="A934" t="s">
        <v>1645</v>
      </c>
      <c r="B934" t="s">
        <v>44</v>
      </c>
      <c r="C934">
        <v>41</v>
      </c>
      <c r="D934" t="s">
        <v>13</v>
      </c>
      <c r="E934" s="2">
        <v>45895</v>
      </c>
      <c r="F934" s="2">
        <v>45904</v>
      </c>
      <c r="G934" t="s">
        <v>71</v>
      </c>
      <c r="H934" t="s">
        <v>72</v>
      </c>
      <c r="I934" s="3">
        <v>22621.47</v>
      </c>
      <c r="J934" s="4">
        <v>70</v>
      </c>
      <c r="K934" t="s">
        <v>26</v>
      </c>
      <c r="L934">
        <f t="shared" si="28"/>
        <v>9</v>
      </c>
      <c r="M934" t="str">
        <f t="shared" si="29"/>
        <v>35–49</v>
      </c>
    </row>
    <row r="935" spans="1:13">
      <c r="A935" t="s">
        <v>1646</v>
      </c>
      <c r="B935" t="s">
        <v>1647</v>
      </c>
      <c r="C935">
        <v>46</v>
      </c>
      <c r="D935" t="s">
        <v>19</v>
      </c>
      <c r="E935" s="2">
        <v>45978</v>
      </c>
      <c r="F935" s="2">
        <v>45981</v>
      </c>
      <c r="G935" t="s">
        <v>61</v>
      </c>
      <c r="H935" t="s">
        <v>78</v>
      </c>
      <c r="I935" s="3">
        <v>3972.12</v>
      </c>
      <c r="J935" s="4">
        <v>50</v>
      </c>
      <c r="K935" t="s">
        <v>21</v>
      </c>
      <c r="L935">
        <f t="shared" si="28"/>
        <v>3</v>
      </c>
      <c r="M935" t="str">
        <f t="shared" si="29"/>
        <v>35–49</v>
      </c>
    </row>
    <row r="936" spans="1:13">
      <c r="A936" t="s">
        <v>1648</v>
      </c>
      <c r="B936" t="s">
        <v>520</v>
      </c>
      <c r="C936">
        <v>16</v>
      </c>
      <c r="D936" t="s">
        <v>19</v>
      </c>
      <c r="E936" s="2">
        <v>45414</v>
      </c>
      <c r="F936" s="2">
        <v>45415</v>
      </c>
      <c r="G936" t="s">
        <v>50</v>
      </c>
      <c r="H936" t="s">
        <v>51</v>
      </c>
      <c r="I936" s="3">
        <v>921.67</v>
      </c>
      <c r="J936" s="4">
        <v>100</v>
      </c>
      <c r="K936" t="s">
        <v>16</v>
      </c>
      <c r="L936">
        <f t="shared" si="28"/>
        <v>1</v>
      </c>
      <c r="M936" t="str">
        <f t="shared" si="29"/>
        <v>0–17</v>
      </c>
    </row>
    <row r="937" spans="1:13">
      <c r="A937" t="s">
        <v>1649</v>
      </c>
      <c r="B937" t="s">
        <v>117</v>
      </c>
      <c r="C937">
        <v>48</v>
      </c>
      <c r="D937" t="s">
        <v>19</v>
      </c>
      <c r="E937" s="2">
        <v>45503</v>
      </c>
      <c r="F937" s="2">
        <v>45505</v>
      </c>
      <c r="G937" t="s">
        <v>24</v>
      </c>
      <c r="H937" t="s">
        <v>83</v>
      </c>
      <c r="I937" s="3">
        <v>3783.41</v>
      </c>
      <c r="J937" s="4">
        <v>70</v>
      </c>
      <c r="K937" t="s">
        <v>21</v>
      </c>
      <c r="L937">
        <f t="shared" si="28"/>
        <v>2</v>
      </c>
      <c r="M937" t="str">
        <f t="shared" si="29"/>
        <v>35–49</v>
      </c>
    </row>
    <row r="938" spans="1:13">
      <c r="A938" t="s">
        <v>1650</v>
      </c>
      <c r="B938" t="s">
        <v>240</v>
      </c>
      <c r="C938">
        <v>31</v>
      </c>
      <c r="D938" t="s">
        <v>13</v>
      </c>
      <c r="E938" s="2">
        <v>45681</v>
      </c>
      <c r="F938" s="2">
        <v>45684</v>
      </c>
      <c r="G938" t="s">
        <v>24</v>
      </c>
      <c r="H938" t="s">
        <v>205</v>
      </c>
      <c r="I938" s="3">
        <v>3007.82</v>
      </c>
      <c r="J938" s="4">
        <v>60</v>
      </c>
      <c r="K938" t="s">
        <v>21</v>
      </c>
      <c r="L938">
        <f t="shared" si="28"/>
        <v>3</v>
      </c>
      <c r="M938" t="str">
        <f t="shared" si="29"/>
        <v>18–34</v>
      </c>
    </row>
    <row r="939" spans="1:13">
      <c r="A939" t="s">
        <v>1651</v>
      </c>
      <c r="B939" t="s">
        <v>1652</v>
      </c>
      <c r="C939">
        <v>12</v>
      </c>
      <c r="D939" t="s">
        <v>13</v>
      </c>
      <c r="E939" s="2">
        <v>45733</v>
      </c>
      <c r="F939" s="2">
        <v>45738</v>
      </c>
      <c r="G939" t="s">
        <v>50</v>
      </c>
      <c r="H939" t="s">
        <v>379</v>
      </c>
      <c r="I939" s="3">
        <v>6547.21</v>
      </c>
      <c r="J939" s="4">
        <v>80</v>
      </c>
      <c r="K939" t="s">
        <v>26</v>
      </c>
      <c r="L939">
        <f t="shared" si="28"/>
        <v>5</v>
      </c>
      <c r="M939" t="str">
        <f t="shared" si="29"/>
        <v>0–17</v>
      </c>
    </row>
    <row r="940" spans="1:13">
      <c r="A940" t="s">
        <v>1653</v>
      </c>
      <c r="B940" t="s">
        <v>1654</v>
      </c>
      <c r="C940">
        <v>79</v>
      </c>
      <c r="D940" t="s">
        <v>13</v>
      </c>
      <c r="E940" s="2">
        <v>45891</v>
      </c>
      <c r="F940" s="2">
        <v>45897</v>
      </c>
      <c r="G940" t="s">
        <v>71</v>
      </c>
      <c r="H940" t="s">
        <v>195</v>
      </c>
      <c r="I940" s="3">
        <v>6760.22</v>
      </c>
      <c r="J940" s="4">
        <v>90</v>
      </c>
      <c r="K940" t="s">
        <v>16</v>
      </c>
      <c r="L940">
        <f t="shared" si="28"/>
        <v>6</v>
      </c>
      <c r="M940" t="str">
        <f t="shared" si="29"/>
        <v>65+</v>
      </c>
    </row>
    <row r="941" spans="1:13">
      <c r="A941" t="s">
        <v>1655</v>
      </c>
      <c r="B941" t="s">
        <v>1656</v>
      </c>
      <c r="C941">
        <v>48</v>
      </c>
      <c r="D941" t="s">
        <v>13</v>
      </c>
      <c r="E941" s="2">
        <v>45768</v>
      </c>
      <c r="F941" s="2">
        <v>45771</v>
      </c>
      <c r="G941" t="s">
        <v>32</v>
      </c>
      <c r="H941" t="s">
        <v>88</v>
      </c>
      <c r="I941" s="3">
        <v>3865.55</v>
      </c>
      <c r="J941" s="4">
        <v>80</v>
      </c>
      <c r="K941" t="s">
        <v>16</v>
      </c>
      <c r="L941">
        <f t="shared" si="28"/>
        <v>3</v>
      </c>
      <c r="M941" t="str">
        <f t="shared" si="29"/>
        <v>35–49</v>
      </c>
    </row>
    <row r="942" spans="1:13">
      <c r="A942" t="s">
        <v>1657</v>
      </c>
      <c r="B942" t="s">
        <v>790</v>
      </c>
      <c r="C942">
        <v>43</v>
      </c>
      <c r="D942" t="s">
        <v>13</v>
      </c>
      <c r="E942" s="2">
        <v>45383</v>
      </c>
      <c r="F942" s="2">
        <v>45389</v>
      </c>
      <c r="G942" t="s">
        <v>32</v>
      </c>
      <c r="H942" t="s">
        <v>54</v>
      </c>
      <c r="I942" s="3">
        <v>5921.38</v>
      </c>
      <c r="J942" s="4">
        <v>70</v>
      </c>
      <c r="K942" t="s">
        <v>16</v>
      </c>
      <c r="L942">
        <f t="shared" si="28"/>
        <v>6</v>
      </c>
      <c r="M942" t="str">
        <f t="shared" si="29"/>
        <v>35–49</v>
      </c>
    </row>
    <row r="943" spans="1:13">
      <c r="A943" t="s">
        <v>1658</v>
      </c>
      <c r="B943" t="s">
        <v>293</v>
      </c>
      <c r="C943">
        <v>34</v>
      </c>
      <c r="D943" t="s">
        <v>13</v>
      </c>
      <c r="E943" s="2">
        <v>45607</v>
      </c>
      <c r="F943" s="2">
        <v>45616</v>
      </c>
      <c r="G943" t="s">
        <v>61</v>
      </c>
      <c r="H943" t="s">
        <v>98</v>
      </c>
      <c r="I943" s="3">
        <v>11299.89</v>
      </c>
      <c r="J943" s="4">
        <v>100</v>
      </c>
      <c r="K943" t="s">
        <v>21</v>
      </c>
      <c r="L943">
        <f t="shared" si="28"/>
        <v>9</v>
      </c>
      <c r="M943" t="str">
        <f t="shared" si="29"/>
        <v>18–34</v>
      </c>
    </row>
    <row r="944" spans="1:13">
      <c r="A944" t="s">
        <v>1659</v>
      </c>
      <c r="B944" t="s">
        <v>1660</v>
      </c>
      <c r="C944">
        <v>15</v>
      </c>
      <c r="D944" t="s">
        <v>19</v>
      </c>
      <c r="E944" s="2">
        <v>45392</v>
      </c>
      <c r="F944" s="2">
        <v>45396</v>
      </c>
      <c r="G944" t="s">
        <v>50</v>
      </c>
      <c r="H944" t="s">
        <v>121</v>
      </c>
      <c r="I944" s="3">
        <v>4061.69</v>
      </c>
      <c r="J944" s="4">
        <v>60</v>
      </c>
      <c r="K944" t="s">
        <v>16</v>
      </c>
      <c r="L944">
        <f t="shared" si="28"/>
        <v>4</v>
      </c>
      <c r="M944" t="str">
        <f t="shared" si="29"/>
        <v>0–17</v>
      </c>
    </row>
    <row r="945" spans="1:13">
      <c r="A945" t="s">
        <v>1661</v>
      </c>
      <c r="B945" t="s">
        <v>1662</v>
      </c>
      <c r="C945">
        <v>9</v>
      </c>
      <c r="D945" t="s">
        <v>19</v>
      </c>
      <c r="E945" s="2">
        <v>45519</v>
      </c>
      <c r="F945" s="2">
        <v>45520</v>
      </c>
      <c r="G945" t="s">
        <v>50</v>
      </c>
      <c r="H945" t="s">
        <v>121</v>
      </c>
      <c r="I945" s="3">
        <v>1243.02</v>
      </c>
      <c r="J945" s="4">
        <v>80</v>
      </c>
      <c r="K945" t="s">
        <v>16</v>
      </c>
      <c r="L945">
        <f t="shared" si="28"/>
        <v>1</v>
      </c>
      <c r="M945" t="str">
        <f t="shared" si="29"/>
        <v>0–17</v>
      </c>
    </row>
    <row r="946" spans="1:13">
      <c r="A946" t="s">
        <v>1663</v>
      </c>
      <c r="B946" t="s">
        <v>1664</v>
      </c>
      <c r="C946">
        <v>70</v>
      </c>
      <c r="D946" t="s">
        <v>13</v>
      </c>
      <c r="E946" s="2">
        <v>45592</v>
      </c>
      <c r="F946" s="2">
        <v>45599</v>
      </c>
      <c r="G946" t="s">
        <v>61</v>
      </c>
      <c r="H946" t="s">
        <v>98</v>
      </c>
      <c r="I946" s="3">
        <v>18613.240000000002</v>
      </c>
      <c r="J946" s="4">
        <v>80</v>
      </c>
      <c r="K946" t="s">
        <v>16</v>
      </c>
      <c r="L946">
        <f t="shared" si="28"/>
        <v>7</v>
      </c>
      <c r="M946" t="str">
        <f t="shared" si="29"/>
        <v>65+</v>
      </c>
    </row>
    <row r="947" spans="1:13">
      <c r="A947" t="s">
        <v>1665</v>
      </c>
      <c r="B947" t="s">
        <v>621</v>
      </c>
      <c r="C947">
        <v>31</v>
      </c>
      <c r="D947" t="s">
        <v>19</v>
      </c>
      <c r="E947" s="2">
        <v>45526</v>
      </c>
      <c r="F947" s="2">
        <v>45529</v>
      </c>
      <c r="G947" t="s">
        <v>71</v>
      </c>
      <c r="H947" t="s">
        <v>72</v>
      </c>
      <c r="I947" s="3">
        <v>4541.45</v>
      </c>
      <c r="J947" s="4">
        <v>60</v>
      </c>
      <c r="K947" t="s">
        <v>16</v>
      </c>
      <c r="L947">
        <f t="shared" si="28"/>
        <v>3</v>
      </c>
      <c r="M947" t="str">
        <f t="shared" si="29"/>
        <v>18–34</v>
      </c>
    </row>
    <row r="948" spans="1:13">
      <c r="A948" t="s">
        <v>1666</v>
      </c>
      <c r="B948" t="s">
        <v>1667</v>
      </c>
      <c r="C948">
        <v>65</v>
      </c>
      <c r="D948" t="s">
        <v>13</v>
      </c>
      <c r="E948" s="2">
        <v>45967</v>
      </c>
      <c r="F948" s="2">
        <v>45972</v>
      </c>
      <c r="G948" t="s">
        <v>14</v>
      </c>
      <c r="H948" t="s">
        <v>20</v>
      </c>
      <c r="I948" s="3">
        <v>14897.36</v>
      </c>
      <c r="J948" s="4">
        <v>100</v>
      </c>
      <c r="K948" t="s">
        <v>16</v>
      </c>
      <c r="L948">
        <f t="shared" si="28"/>
        <v>5</v>
      </c>
      <c r="M948" t="str">
        <f t="shared" si="29"/>
        <v>65+</v>
      </c>
    </row>
    <row r="949" spans="1:13">
      <c r="A949" t="s">
        <v>1668</v>
      </c>
      <c r="B949" t="s">
        <v>35</v>
      </c>
      <c r="C949">
        <v>60</v>
      </c>
      <c r="D949" t="s">
        <v>13</v>
      </c>
      <c r="E949" s="2">
        <v>45761</v>
      </c>
      <c r="F949" s="2">
        <v>45766</v>
      </c>
      <c r="G949" t="s">
        <v>61</v>
      </c>
      <c r="H949" t="s">
        <v>98</v>
      </c>
      <c r="I949" s="3">
        <v>5557.59</v>
      </c>
      <c r="J949" s="4">
        <v>70</v>
      </c>
      <c r="K949" t="s">
        <v>26</v>
      </c>
      <c r="L949">
        <f t="shared" si="28"/>
        <v>5</v>
      </c>
      <c r="M949" t="str">
        <f t="shared" si="29"/>
        <v>50–64</v>
      </c>
    </row>
    <row r="950" spans="1:13">
      <c r="A950" t="s">
        <v>1669</v>
      </c>
      <c r="B950" t="s">
        <v>1670</v>
      </c>
      <c r="C950">
        <v>59</v>
      </c>
      <c r="D950" t="s">
        <v>19</v>
      </c>
      <c r="E950" s="2">
        <v>45331</v>
      </c>
      <c r="F950" s="2">
        <v>45337</v>
      </c>
      <c r="G950" t="s">
        <v>14</v>
      </c>
      <c r="H950" t="s">
        <v>166</v>
      </c>
      <c r="I950" s="3">
        <v>14526.47</v>
      </c>
      <c r="J950" s="4">
        <v>90</v>
      </c>
      <c r="K950" t="s">
        <v>16</v>
      </c>
      <c r="L950">
        <f t="shared" si="28"/>
        <v>6</v>
      </c>
      <c r="M950" t="str">
        <f t="shared" si="29"/>
        <v>50–64</v>
      </c>
    </row>
    <row r="951" spans="1:13">
      <c r="A951" t="s">
        <v>1671</v>
      </c>
      <c r="B951" t="s">
        <v>985</v>
      </c>
      <c r="C951">
        <v>33</v>
      </c>
      <c r="D951" t="s">
        <v>19</v>
      </c>
      <c r="E951" s="2">
        <v>45961</v>
      </c>
      <c r="F951" s="2">
        <v>45968</v>
      </c>
      <c r="G951" t="s">
        <v>32</v>
      </c>
      <c r="H951" t="s">
        <v>235</v>
      </c>
      <c r="I951" s="3">
        <v>6592.81</v>
      </c>
      <c r="J951" s="4">
        <v>80</v>
      </c>
      <c r="K951" t="s">
        <v>21</v>
      </c>
      <c r="L951">
        <f t="shared" si="28"/>
        <v>7</v>
      </c>
      <c r="M951" t="str">
        <f t="shared" si="29"/>
        <v>18–34</v>
      </c>
    </row>
    <row r="952" spans="1:13">
      <c r="A952" t="s">
        <v>1672</v>
      </c>
      <c r="B952" t="s">
        <v>1673</v>
      </c>
      <c r="C952">
        <v>45</v>
      </c>
      <c r="D952" t="s">
        <v>19</v>
      </c>
      <c r="E952" s="2">
        <v>45598</v>
      </c>
      <c r="F952" s="2">
        <v>45602</v>
      </c>
      <c r="G952" t="s">
        <v>32</v>
      </c>
      <c r="H952" t="s">
        <v>115</v>
      </c>
      <c r="I952" s="3">
        <v>5811.71</v>
      </c>
      <c r="J952" s="4">
        <v>80</v>
      </c>
      <c r="K952" t="s">
        <v>16</v>
      </c>
      <c r="L952">
        <f t="shared" si="28"/>
        <v>4</v>
      </c>
      <c r="M952" t="str">
        <f t="shared" si="29"/>
        <v>35–49</v>
      </c>
    </row>
    <row r="953" spans="1:13">
      <c r="A953" t="s">
        <v>1674</v>
      </c>
      <c r="B953" t="s">
        <v>1675</v>
      </c>
      <c r="C953">
        <v>72</v>
      </c>
      <c r="D953" t="s">
        <v>19</v>
      </c>
      <c r="E953" s="2">
        <v>45486</v>
      </c>
      <c r="F953" s="2">
        <v>45493</v>
      </c>
      <c r="G953" t="s">
        <v>61</v>
      </c>
      <c r="H953" t="s">
        <v>143</v>
      </c>
      <c r="I953" s="3">
        <v>15420.8</v>
      </c>
      <c r="J953" s="4">
        <v>60</v>
      </c>
      <c r="K953" t="s">
        <v>26</v>
      </c>
      <c r="L953">
        <f t="shared" si="28"/>
        <v>7</v>
      </c>
      <c r="M953" t="str">
        <f t="shared" si="29"/>
        <v>65+</v>
      </c>
    </row>
    <row r="954" spans="1:13">
      <c r="A954" t="s">
        <v>1676</v>
      </c>
      <c r="B954" t="s">
        <v>945</v>
      </c>
      <c r="C954">
        <v>31</v>
      </c>
      <c r="D954" t="s">
        <v>19</v>
      </c>
      <c r="E954" s="2">
        <v>45327</v>
      </c>
      <c r="F954" s="2">
        <v>45338</v>
      </c>
      <c r="G954" t="s">
        <v>61</v>
      </c>
      <c r="H954" t="s">
        <v>75</v>
      </c>
      <c r="I954" s="3">
        <v>28706.36</v>
      </c>
      <c r="J954" s="4">
        <v>80</v>
      </c>
      <c r="K954" t="s">
        <v>16</v>
      </c>
      <c r="L954">
        <f t="shared" si="28"/>
        <v>11</v>
      </c>
      <c r="M954" t="str">
        <f t="shared" si="29"/>
        <v>18–34</v>
      </c>
    </row>
    <row r="955" spans="1:13">
      <c r="A955" t="s">
        <v>1677</v>
      </c>
      <c r="B955" t="s">
        <v>1678</v>
      </c>
      <c r="C955">
        <v>78</v>
      </c>
      <c r="D955" t="s">
        <v>19</v>
      </c>
      <c r="E955" s="2">
        <v>45462</v>
      </c>
      <c r="F955" s="2">
        <v>45468</v>
      </c>
      <c r="G955" t="s">
        <v>14</v>
      </c>
      <c r="H955" t="s">
        <v>15</v>
      </c>
      <c r="I955" s="3">
        <v>10923.17</v>
      </c>
      <c r="J955" s="4">
        <v>90</v>
      </c>
      <c r="K955" t="s">
        <v>21</v>
      </c>
      <c r="L955">
        <f t="shared" si="28"/>
        <v>6</v>
      </c>
      <c r="M955" t="str">
        <f t="shared" si="29"/>
        <v>65+</v>
      </c>
    </row>
    <row r="956" spans="1:13">
      <c r="A956" t="s">
        <v>1679</v>
      </c>
      <c r="B956" t="s">
        <v>303</v>
      </c>
      <c r="C956">
        <v>52</v>
      </c>
      <c r="D956" t="s">
        <v>19</v>
      </c>
      <c r="E956" s="2">
        <v>45696</v>
      </c>
      <c r="F956" s="2">
        <v>45705</v>
      </c>
      <c r="G956" t="s">
        <v>71</v>
      </c>
      <c r="H956" t="s">
        <v>158</v>
      </c>
      <c r="I956" s="3">
        <v>20558.88</v>
      </c>
      <c r="J956" s="4">
        <v>90</v>
      </c>
      <c r="K956" t="s">
        <v>16</v>
      </c>
      <c r="L956">
        <f t="shared" si="28"/>
        <v>9</v>
      </c>
      <c r="M956" t="str">
        <f t="shared" si="29"/>
        <v>50–64</v>
      </c>
    </row>
    <row r="957" spans="1:13">
      <c r="A957" t="s">
        <v>1680</v>
      </c>
      <c r="B957" t="s">
        <v>178</v>
      </c>
      <c r="C957">
        <v>41</v>
      </c>
      <c r="D957" t="s">
        <v>13</v>
      </c>
      <c r="E957" s="2">
        <v>45988</v>
      </c>
      <c r="F957" s="2">
        <v>45989</v>
      </c>
      <c r="G957" t="s">
        <v>32</v>
      </c>
      <c r="H957" t="s">
        <v>36</v>
      </c>
      <c r="I957" s="3">
        <v>759.83</v>
      </c>
      <c r="J957" s="4">
        <v>70</v>
      </c>
      <c r="K957" t="s">
        <v>16</v>
      </c>
      <c r="L957">
        <f t="shared" si="28"/>
        <v>1</v>
      </c>
      <c r="M957" t="str">
        <f t="shared" si="29"/>
        <v>35–49</v>
      </c>
    </row>
    <row r="958" spans="1:13">
      <c r="A958" t="s">
        <v>1681</v>
      </c>
      <c r="B958" t="s">
        <v>1640</v>
      </c>
      <c r="C958">
        <v>32</v>
      </c>
      <c r="D958" t="s">
        <v>19</v>
      </c>
      <c r="E958" s="2">
        <v>45697</v>
      </c>
      <c r="F958" s="2">
        <v>45699</v>
      </c>
      <c r="G958" t="s">
        <v>24</v>
      </c>
      <c r="H958" t="s">
        <v>83</v>
      </c>
      <c r="I958" s="3">
        <v>2012.29</v>
      </c>
      <c r="J958" s="4">
        <v>70</v>
      </c>
      <c r="K958" t="s">
        <v>16</v>
      </c>
      <c r="L958">
        <f t="shared" si="28"/>
        <v>2</v>
      </c>
      <c r="M958" t="str">
        <f t="shared" si="29"/>
        <v>18–34</v>
      </c>
    </row>
    <row r="959" spans="1:13">
      <c r="A959" t="s">
        <v>1682</v>
      </c>
      <c r="B959" t="s">
        <v>1683</v>
      </c>
      <c r="C959">
        <v>39</v>
      </c>
      <c r="D959" t="s">
        <v>13</v>
      </c>
      <c r="E959" s="2">
        <v>45450</v>
      </c>
      <c r="F959" s="2">
        <v>45456</v>
      </c>
      <c r="G959" t="s">
        <v>61</v>
      </c>
      <c r="H959" t="s">
        <v>62</v>
      </c>
      <c r="I959" s="3">
        <v>16229.56</v>
      </c>
      <c r="J959" s="4">
        <v>90</v>
      </c>
      <c r="K959" t="s">
        <v>16</v>
      </c>
      <c r="L959">
        <f t="shared" si="28"/>
        <v>6</v>
      </c>
      <c r="M959" t="str">
        <f t="shared" si="29"/>
        <v>35–49</v>
      </c>
    </row>
    <row r="960" spans="1:13">
      <c r="A960" t="s">
        <v>1684</v>
      </c>
      <c r="B960" t="s">
        <v>368</v>
      </c>
      <c r="C960">
        <v>52</v>
      </c>
      <c r="D960" t="s">
        <v>13</v>
      </c>
      <c r="E960" s="2">
        <v>45304</v>
      </c>
      <c r="F960" s="2">
        <v>45310</v>
      </c>
      <c r="G960" t="s">
        <v>32</v>
      </c>
      <c r="H960" t="s">
        <v>36</v>
      </c>
      <c r="I960" s="3">
        <v>8478.0300000000007</v>
      </c>
      <c r="J960" s="4">
        <v>70</v>
      </c>
      <c r="K960" t="s">
        <v>26</v>
      </c>
      <c r="L960">
        <f t="shared" si="28"/>
        <v>6</v>
      </c>
      <c r="M960" t="str">
        <f t="shared" si="29"/>
        <v>50–64</v>
      </c>
    </row>
    <row r="961" spans="1:13">
      <c r="A961" t="s">
        <v>1685</v>
      </c>
      <c r="B961" t="s">
        <v>1686</v>
      </c>
      <c r="C961">
        <v>58</v>
      </c>
      <c r="D961" t="s">
        <v>19</v>
      </c>
      <c r="E961" s="2">
        <v>45470</v>
      </c>
      <c r="F961" s="2">
        <v>45480</v>
      </c>
      <c r="G961" t="s">
        <v>71</v>
      </c>
      <c r="H961" t="s">
        <v>158</v>
      </c>
      <c r="I961" s="3">
        <v>23264.42</v>
      </c>
      <c r="J961" s="4">
        <v>60</v>
      </c>
      <c r="K961" t="s">
        <v>16</v>
      </c>
      <c r="L961">
        <f t="shared" si="28"/>
        <v>10</v>
      </c>
      <c r="M961" t="str">
        <f t="shared" si="29"/>
        <v>50–64</v>
      </c>
    </row>
    <row r="962" spans="1:13">
      <c r="A962" t="s">
        <v>1687</v>
      </c>
      <c r="B962" t="s">
        <v>176</v>
      </c>
      <c r="C962">
        <v>82</v>
      </c>
      <c r="D962" t="s">
        <v>19</v>
      </c>
      <c r="E962" s="2">
        <v>45654</v>
      </c>
      <c r="F962" s="2">
        <v>45658</v>
      </c>
      <c r="G962" t="s">
        <v>32</v>
      </c>
      <c r="H962" t="s">
        <v>54</v>
      </c>
      <c r="I962" s="3">
        <v>4983.18</v>
      </c>
      <c r="J962" s="4">
        <v>80</v>
      </c>
      <c r="K962" t="s">
        <v>26</v>
      </c>
      <c r="L962">
        <f t="shared" si="28"/>
        <v>4</v>
      </c>
      <c r="M962" t="str">
        <f t="shared" si="29"/>
        <v>65+</v>
      </c>
    </row>
    <row r="963" spans="1:13">
      <c r="A963" t="s">
        <v>1688</v>
      </c>
      <c r="B963" t="s">
        <v>1689</v>
      </c>
      <c r="C963">
        <v>47</v>
      </c>
      <c r="D963" t="s">
        <v>19</v>
      </c>
      <c r="E963" s="2">
        <v>45735</v>
      </c>
      <c r="F963" s="2">
        <v>45741</v>
      </c>
      <c r="G963" t="s">
        <v>32</v>
      </c>
      <c r="H963" t="s">
        <v>54</v>
      </c>
      <c r="I963" s="3">
        <v>7613.41</v>
      </c>
      <c r="J963" s="4">
        <v>90</v>
      </c>
      <c r="K963" t="s">
        <v>16</v>
      </c>
      <c r="L963">
        <f t="shared" ref="L963:L1001" si="30">F963-E963</f>
        <v>6</v>
      </c>
      <c r="M963" t="str">
        <f t="shared" ref="M963:M1001" si="31">IF(C963&lt;=17,"0–17",IF(C963&lt;=34,"18–34",IF(C963&lt;=49,"35–49",IF(C963&lt;=64,"50–64","65+"))))</f>
        <v>35–49</v>
      </c>
    </row>
    <row r="964" spans="1:13">
      <c r="A964" t="s">
        <v>1690</v>
      </c>
      <c r="B964" t="s">
        <v>988</v>
      </c>
      <c r="C964">
        <v>37</v>
      </c>
      <c r="D964" t="s">
        <v>13</v>
      </c>
      <c r="E964" s="2">
        <v>45387</v>
      </c>
      <c r="F964" s="2">
        <v>45388</v>
      </c>
      <c r="G964" t="s">
        <v>24</v>
      </c>
      <c r="H964" t="s">
        <v>222</v>
      </c>
      <c r="I964" s="3">
        <v>2431.81</v>
      </c>
      <c r="J964" s="4">
        <v>80</v>
      </c>
      <c r="K964" t="s">
        <v>16</v>
      </c>
      <c r="L964">
        <f t="shared" si="30"/>
        <v>1</v>
      </c>
      <c r="M964" t="str">
        <f t="shared" si="31"/>
        <v>35–49</v>
      </c>
    </row>
    <row r="965" spans="1:13">
      <c r="A965" t="s">
        <v>1691</v>
      </c>
      <c r="B965" t="s">
        <v>1692</v>
      </c>
      <c r="C965">
        <v>61</v>
      </c>
      <c r="D965" t="s">
        <v>19</v>
      </c>
      <c r="E965" s="2">
        <v>45478</v>
      </c>
      <c r="F965" s="2">
        <v>45480</v>
      </c>
      <c r="G965" t="s">
        <v>32</v>
      </c>
      <c r="H965" t="s">
        <v>235</v>
      </c>
      <c r="I965" s="3">
        <v>1073.8900000000001</v>
      </c>
      <c r="J965" s="4">
        <v>70</v>
      </c>
      <c r="K965" t="s">
        <v>21</v>
      </c>
      <c r="L965">
        <f t="shared" si="30"/>
        <v>2</v>
      </c>
      <c r="M965" t="str">
        <f t="shared" si="31"/>
        <v>50–64</v>
      </c>
    </row>
    <row r="966" spans="1:13">
      <c r="A966" t="s">
        <v>1693</v>
      </c>
      <c r="B966" t="s">
        <v>1694</v>
      </c>
      <c r="C966">
        <v>70</v>
      </c>
      <c r="D966" t="s">
        <v>19</v>
      </c>
      <c r="E966" s="2">
        <v>45738</v>
      </c>
      <c r="F966" s="2">
        <v>45748</v>
      </c>
      <c r="G966" t="s">
        <v>14</v>
      </c>
      <c r="H966" t="s">
        <v>103</v>
      </c>
      <c r="I966" s="3">
        <v>19302.61</v>
      </c>
      <c r="J966" s="4">
        <v>100</v>
      </c>
      <c r="K966" t="s">
        <v>26</v>
      </c>
      <c r="L966">
        <f t="shared" si="30"/>
        <v>10</v>
      </c>
      <c r="M966" t="str">
        <f t="shared" si="31"/>
        <v>65+</v>
      </c>
    </row>
    <row r="967" spans="1:13">
      <c r="A967" t="s">
        <v>1695</v>
      </c>
      <c r="B967" t="s">
        <v>1539</v>
      </c>
      <c r="C967">
        <v>68</v>
      </c>
      <c r="D967" t="s">
        <v>19</v>
      </c>
      <c r="E967" s="2">
        <v>45791</v>
      </c>
      <c r="F967" s="2">
        <v>45797</v>
      </c>
      <c r="G967" t="s">
        <v>32</v>
      </c>
      <c r="H967" t="s">
        <v>115</v>
      </c>
      <c r="I967" s="3">
        <v>4686.18</v>
      </c>
      <c r="J967" s="4">
        <v>100</v>
      </c>
      <c r="K967" t="s">
        <v>16</v>
      </c>
      <c r="L967">
        <f t="shared" si="30"/>
        <v>6</v>
      </c>
      <c r="M967" t="str">
        <f t="shared" si="31"/>
        <v>65+</v>
      </c>
    </row>
    <row r="968" spans="1:13">
      <c r="A968" t="s">
        <v>1696</v>
      </c>
      <c r="B968" t="s">
        <v>1697</v>
      </c>
      <c r="C968">
        <v>7</v>
      </c>
      <c r="D968" t="s">
        <v>19</v>
      </c>
      <c r="E968" s="2">
        <v>45923</v>
      </c>
      <c r="F968" s="2">
        <v>45926</v>
      </c>
      <c r="G968" t="s">
        <v>50</v>
      </c>
      <c r="H968" t="s">
        <v>379</v>
      </c>
      <c r="I968" s="3">
        <v>3301.8</v>
      </c>
      <c r="J968" s="4">
        <v>70</v>
      </c>
      <c r="K968" t="s">
        <v>26</v>
      </c>
      <c r="L968">
        <f t="shared" si="30"/>
        <v>3</v>
      </c>
      <c r="M968" t="str">
        <f t="shared" si="31"/>
        <v>0–17</v>
      </c>
    </row>
    <row r="969" spans="1:13">
      <c r="A969" t="s">
        <v>1698</v>
      </c>
      <c r="B969" t="s">
        <v>393</v>
      </c>
      <c r="C969">
        <v>57</v>
      </c>
      <c r="D969" t="s">
        <v>19</v>
      </c>
      <c r="E969" s="2">
        <v>45596</v>
      </c>
      <c r="F969" s="2">
        <v>45599</v>
      </c>
      <c r="G969" t="s">
        <v>61</v>
      </c>
      <c r="H969" t="s">
        <v>62</v>
      </c>
      <c r="I969" s="3">
        <v>5980.45</v>
      </c>
      <c r="J969" s="4">
        <v>100</v>
      </c>
      <c r="K969" t="s">
        <v>16</v>
      </c>
      <c r="L969">
        <f t="shared" si="30"/>
        <v>3</v>
      </c>
      <c r="M969" t="str">
        <f t="shared" si="31"/>
        <v>50–64</v>
      </c>
    </row>
    <row r="970" spans="1:13">
      <c r="A970" t="s">
        <v>1699</v>
      </c>
      <c r="B970" t="s">
        <v>1700</v>
      </c>
      <c r="C970">
        <v>34</v>
      </c>
      <c r="D970" t="s">
        <v>19</v>
      </c>
      <c r="E970" s="2">
        <v>45932</v>
      </c>
      <c r="F970" s="2">
        <v>45936</v>
      </c>
      <c r="G970" t="s">
        <v>32</v>
      </c>
      <c r="H970" t="s">
        <v>54</v>
      </c>
      <c r="I970" s="3">
        <v>5054.45</v>
      </c>
      <c r="J970" s="4">
        <v>60</v>
      </c>
      <c r="K970" t="s">
        <v>21</v>
      </c>
      <c r="L970">
        <f t="shared" si="30"/>
        <v>4</v>
      </c>
      <c r="M970" t="str">
        <f t="shared" si="31"/>
        <v>18–34</v>
      </c>
    </row>
    <row r="971" spans="1:13">
      <c r="A971" t="s">
        <v>1701</v>
      </c>
      <c r="B971" t="s">
        <v>1702</v>
      </c>
      <c r="C971">
        <v>52</v>
      </c>
      <c r="D971" t="s">
        <v>13</v>
      </c>
      <c r="E971" s="2">
        <v>45876</v>
      </c>
      <c r="F971" s="2">
        <v>45878</v>
      </c>
      <c r="G971" t="s">
        <v>24</v>
      </c>
      <c r="H971" t="s">
        <v>205</v>
      </c>
      <c r="I971" s="3">
        <v>3102.51</v>
      </c>
      <c r="J971" s="4">
        <v>90</v>
      </c>
      <c r="K971" t="s">
        <v>16</v>
      </c>
      <c r="L971">
        <f t="shared" si="30"/>
        <v>2</v>
      </c>
      <c r="M971" t="str">
        <f t="shared" si="31"/>
        <v>50–64</v>
      </c>
    </row>
    <row r="972" spans="1:13">
      <c r="A972" t="s">
        <v>1703</v>
      </c>
      <c r="B972" t="s">
        <v>497</v>
      </c>
      <c r="C972">
        <v>66</v>
      </c>
      <c r="D972" t="s">
        <v>13</v>
      </c>
      <c r="E972" s="2">
        <v>45669</v>
      </c>
      <c r="F972" s="2">
        <v>45676</v>
      </c>
      <c r="G972" t="s">
        <v>61</v>
      </c>
      <c r="H972" t="s">
        <v>98</v>
      </c>
      <c r="I972" s="3">
        <v>7068.71</v>
      </c>
      <c r="J972" s="4">
        <v>70</v>
      </c>
      <c r="K972" t="s">
        <v>26</v>
      </c>
      <c r="L972">
        <f t="shared" si="30"/>
        <v>7</v>
      </c>
      <c r="M972" t="str">
        <f t="shared" si="31"/>
        <v>65+</v>
      </c>
    </row>
    <row r="973" spans="1:13">
      <c r="A973" t="s">
        <v>1704</v>
      </c>
      <c r="B973" t="s">
        <v>1705</v>
      </c>
      <c r="C973">
        <v>59</v>
      </c>
      <c r="D973" t="s">
        <v>13</v>
      </c>
      <c r="E973" s="2">
        <v>45376</v>
      </c>
      <c r="F973" s="2">
        <v>45380</v>
      </c>
      <c r="G973" t="s">
        <v>61</v>
      </c>
      <c r="H973" t="s">
        <v>75</v>
      </c>
      <c r="I973" s="3">
        <v>7018.51</v>
      </c>
      <c r="J973" s="4">
        <v>80</v>
      </c>
      <c r="K973" t="s">
        <v>16</v>
      </c>
      <c r="L973">
        <f t="shared" si="30"/>
        <v>4</v>
      </c>
      <c r="M973" t="str">
        <f t="shared" si="31"/>
        <v>50–64</v>
      </c>
    </row>
    <row r="974" spans="1:13">
      <c r="A974" t="s">
        <v>1706</v>
      </c>
      <c r="B974" t="s">
        <v>1707</v>
      </c>
      <c r="C974">
        <v>17</v>
      </c>
      <c r="D974" t="s">
        <v>19</v>
      </c>
      <c r="E974" s="2">
        <v>45625</v>
      </c>
      <c r="F974" s="2">
        <v>45626</v>
      </c>
      <c r="G974" t="s">
        <v>50</v>
      </c>
      <c r="H974" t="s">
        <v>121</v>
      </c>
      <c r="I974" s="3">
        <v>895.4</v>
      </c>
      <c r="J974" s="4">
        <v>70</v>
      </c>
      <c r="K974" t="s">
        <v>21</v>
      </c>
      <c r="L974">
        <f t="shared" si="30"/>
        <v>1</v>
      </c>
      <c r="M974" t="str">
        <f t="shared" si="31"/>
        <v>0–17</v>
      </c>
    </row>
    <row r="975" spans="1:13">
      <c r="A975" t="s">
        <v>1708</v>
      </c>
      <c r="B975" t="s">
        <v>1531</v>
      </c>
      <c r="C975">
        <v>25</v>
      </c>
      <c r="D975" t="s">
        <v>19</v>
      </c>
      <c r="E975" s="2">
        <v>45853</v>
      </c>
      <c r="F975" s="2">
        <v>45858</v>
      </c>
      <c r="G975" t="s">
        <v>32</v>
      </c>
      <c r="H975" t="s">
        <v>45</v>
      </c>
      <c r="I975" s="3">
        <v>5857.12</v>
      </c>
      <c r="J975" s="4">
        <v>70</v>
      </c>
      <c r="K975" t="s">
        <v>16</v>
      </c>
      <c r="L975">
        <f t="shared" si="30"/>
        <v>5</v>
      </c>
      <c r="M975" t="str">
        <f t="shared" si="31"/>
        <v>18–34</v>
      </c>
    </row>
    <row r="976" spans="1:13">
      <c r="A976" t="s">
        <v>1709</v>
      </c>
      <c r="B976" t="s">
        <v>479</v>
      </c>
      <c r="C976">
        <v>22</v>
      </c>
      <c r="D976" t="s">
        <v>19</v>
      </c>
      <c r="E976" s="2">
        <v>45923</v>
      </c>
      <c r="F976" s="2">
        <v>45926</v>
      </c>
      <c r="G976" t="s">
        <v>24</v>
      </c>
      <c r="H976" t="s">
        <v>83</v>
      </c>
      <c r="I976" s="3">
        <v>5212.57</v>
      </c>
      <c r="J976" s="4">
        <v>90</v>
      </c>
      <c r="K976" t="s">
        <v>16</v>
      </c>
      <c r="L976">
        <f t="shared" si="30"/>
        <v>3</v>
      </c>
      <c r="M976" t="str">
        <f t="shared" si="31"/>
        <v>18–34</v>
      </c>
    </row>
    <row r="977" spans="1:13">
      <c r="A977" t="s">
        <v>1710</v>
      </c>
      <c r="B977" t="s">
        <v>281</v>
      </c>
      <c r="C977">
        <v>73</v>
      </c>
      <c r="D977" t="s">
        <v>13</v>
      </c>
      <c r="E977" s="2">
        <v>45654</v>
      </c>
      <c r="F977" s="2">
        <v>45661</v>
      </c>
      <c r="G977" t="s">
        <v>14</v>
      </c>
      <c r="H977" t="s">
        <v>166</v>
      </c>
      <c r="I977" s="3">
        <v>18256.04</v>
      </c>
      <c r="J977" s="4">
        <v>70</v>
      </c>
      <c r="K977" t="s">
        <v>21</v>
      </c>
      <c r="L977">
        <f t="shared" si="30"/>
        <v>7</v>
      </c>
      <c r="M977" t="str">
        <f t="shared" si="31"/>
        <v>65+</v>
      </c>
    </row>
    <row r="978" spans="1:13">
      <c r="A978" t="s">
        <v>1711</v>
      </c>
      <c r="B978" t="s">
        <v>1712</v>
      </c>
      <c r="C978">
        <v>40</v>
      </c>
      <c r="D978" t="s">
        <v>19</v>
      </c>
      <c r="E978" s="2">
        <v>45751</v>
      </c>
      <c r="F978" s="2">
        <v>45761</v>
      </c>
      <c r="G978" t="s">
        <v>14</v>
      </c>
      <c r="H978" t="s">
        <v>15</v>
      </c>
      <c r="I978" s="3">
        <v>22950.92</v>
      </c>
      <c r="J978" s="4">
        <v>80</v>
      </c>
      <c r="K978" t="s">
        <v>16</v>
      </c>
      <c r="L978">
        <f t="shared" si="30"/>
        <v>10</v>
      </c>
      <c r="M978" t="str">
        <f t="shared" si="31"/>
        <v>35–49</v>
      </c>
    </row>
    <row r="979" spans="1:13">
      <c r="A979" t="s">
        <v>1713</v>
      </c>
      <c r="B979" t="s">
        <v>190</v>
      </c>
      <c r="C979">
        <v>65</v>
      </c>
      <c r="D979" t="s">
        <v>13</v>
      </c>
      <c r="E979" s="2">
        <v>45649</v>
      </c>
      <c r="F979" s="2">
        <v>45656</v>
      </c>
      <c r="G979" t="s">
        <v>32</v>
      </c>
      <c r="H979" t="s">
        <v>115</v>
      </c>
      <c r="I979" s="3">
        <v>9174.23</v>
      </c>
      <c r="J979" s="4">
        <v>60</v>
      </c>
      <c r="K979" t="s">
        <v>26</v>
      </c>
      <c r="L979">
        <f t="shared" si="30"/>
        <v>7</v>
      </c>
      <c r="M979" t="str">
        <f t="shared" si="31"/>
        <v>65+</v>
      </c>
    </row>
    <row r="980" spans="1:13">
      <c r="A980" t="s">
        <v>1714</v>
      </c>
      <c r="B980" t="s">
        <v>130</v>
      </c>
      <c r="C980">
        <v>18</v>
      </c>
      <c r="D980" t="s">
        <v>19</v>
      </c>
      <c r="E980" s="2">
        <v>45900</v>
      </c>
      <c r="F980" s="2">
        <v>45903</v>
      </c>
      <c r="G980" t="s">
        <v>32</v>
      </c>
      <c r="H980" t="s">
        <v>235</v>
      </c>
      <c r="I980" s="3">
        <v>2502.7600000000002</v>
      </c>
      <c r="J980" s="4">
        <v>80</v>
      </c>
      <c r="K980" t="s">
        <v>16</v>
      </c>
      <c r="L980">
        <f t="shared" si="30"/>
        <v>3</v>
      </c>
      <c r="M980" t="str">
        <f t="shared" si="31"/>
        <v>18–34</v>
      </c>
    </row>
    <row r="981" spans="1:13">
      <c r="A981" t="s">
        <v>1715</v>
      </c>
      <c r="B981" t="s">
        <v>407</v>
      </c>
      <c r="C981">
        <v>43</v>
      </c>
      <c r="D981" t="s">
        <v>13</v>
      </c>
      <c r="E981" s="2">
        <v>45929</v>
      </c>
      <c r="F981" s="2">
        <v>45932</v>
      </c>
      <c r="G981" t="s">
        <v>24</v>
      </c>
      <c r="H981" t="s">
        <v>205</v>
      </c>
      <c r="I981" s="3">
        <v>6927.74</v>
      </c>
      <c r="J981" s="4">
        <v>90</v>
      </c>
      <c r="K981" t="s">
        <v>16</v>
      </c>
      <c r="L981">
        <f t="shared" si="30"/>
        <v>3</v>
      </c>
      <c r="M981" t="str">
        <f t="shared" si="31"/>
        <v>35–49</v>
      </c>
    </row>
    <row r="982" spans="1:13">
      <c r="A982" t="s">
        <v>1716</v>
      </c>
      <c r="B982" t="s">
        <v>694</v>
      </c>
      <c r="C982">
        <v>54</v>
      </c>
      <c r="D982" t="s">
        <v>19</v>
      </c>
      <c r="E982" s="2">
        <v>45539</v>
      </c>
      <c r="F982" s="2">
        <v>45544</v>
      </c>
      <c r="G982" t="s">
        <v>32</v>
      </c>
      <c r="H982" t="s">
        <v>45</v>
      </c>
      <c r="I982" s="3">
        <v>4663.1899999999996</v>
      </c>
      <c r="J982" s="4">
        <v>80</v>
      </c>
      <c r="K982" t="s">
        <v>16</v>
      </c>
      <c r="L982">
        <f t="shared" si="30"/>
        <v>5</v>
      </c>
      <c r="M982" t="str">
        <f t="shared" si="31"/>
        <v>50–64</v>
      </c>
    </row>
    <row r="983" spans="1:13">
      <c r="A983" t="s">
        <v>1717</v>
      </c>
      <c r="B983" t="s">
        <v>1718</v>
      </c>
      <c r="C983">
        <v>55</v>
      </c>
      <c r="D983" t="s">
        <v>19</v>
      </c>
      <c r="E983" s="2">
        <v>45596</v>
      </c>
      <c r="F983" s="2">
        <v>45604</v>
      </c>
      <c r="G983" t="s">
        <v>61</v>
      </c>
      <c r="H983" t="s">
        <v>62</v>
      </c>
      <c r="I983" s="3">
        <v>20435.29</v>
      </c>
      <c r="J983" s="4">
        <v>70</v>
      </c>
      <c r="K983" t="s">
        <v>26</v>
      </c>
      <c r="L983">
        <f t="shared" si="30"/>
        <v>8</v>
      </c>
      <c r="M983" t="str">
        <f t="shared" si="31"/>
        <v>50–64</v>
      </c>
    </row>
    <row r="984" spans="1:13">
      <c r="A984" t="s">
        <v>1719</v>
      </c>
      <c r="B984" t="s">
        <v>387</v>
      </c>
      <c r="C984">
        <v>81</v>
      </c>
      <c r="D984" t="s">
        <v>19</v>
      </c>
      <c r="E984" s="2">
        <v>46009</v>
      </c>
      <c r="F984" s="2">
        <v>46011</v>
      </c>
      <c r="G984" t="s">
        <v>32</v>
      </c>
      <c r="H984" t="s">
        <v>45</v>
      </c>
      <c r="I984" s="3">
        <v>1278.31</v>
      </c>
      <c r="J984" s="4">
        <v>60</v>
      </c>
      <c r="K984" t="s">
        <v>21</v>
      </c>
      <c r="L984">
        <f t="shared" si="30"/>
        <v>2</v>
      </c>
      <c r="M984" t="str">
        <f t="shared" si="31"/>
        <v>65+</v>
      </c>
    </row>
    <row r="985" spans="1:13">
      <c r="A985" t="s">
        <v>1720</v>
      </c>
      <c r="B985" t="s">
        <v>1060</v>
      </c>
      <c r="C985">
        <v>44</v>
      </c>
      <c r="D985" t="s">
        <v>13</v>
      </c>
      <c r="E985" s="2">
        <v>45675</v>
      </c>
      <c r="F985" s="2">
        <v>45678</v>
      </c>
      <c r="G985" t="s">
        <v>24</v>
      </c>
      <c r="H985" t="s">
        <v>222</v>
      </c>
      <c r="I985" s="3">
        <v>6875.52</v>
      </c>
      <c r="J985" s="4">
        <v>70</v>
      </c>
      <c r="K985" t="s">
        <v>16</v>
      </c>
      <c r="L985">
        <f t="shared" si="30"/>
        <v>3</v>
      </c>
      <c r="M985" t="str">
        <f t="shared" si="31"/>
        <v>35–49</v>
      </c>
    </row>
    <row r="986" spans="1:13">
      <c r="A986" t="s">
        <v>1721</v>
      </c>
      <c r="B986" t="s">
        <v>1419</v>
      </c>
      <c r="C986">
        <v>57</v>
      </c>
      <c r="D986" t="s">
        <v>19</v>
      </c>
      <c r="E986" s="2">
        <v>45515</v>
      </c>
      <c r="F986" s="2">
        <v>45521</v>
      </c>
      <c r="G986" t="s">
        <v>71</v>
      </c>
      <c r="H986" t="s">
        <v>158</v>
      </c>
      <c r="I986" s="3">
        <v>14894.02</v>
      </c>
      <c r="J986" s="4">
        <v>60</v>
      </c>
      <c r="K986" t="s">
        <v>16</v>
      </c>
      <c r="L986">
        <f t="shared" si="30"/>
        <v>6</v>
      </c>
      <c r="M986" t="str">
        <f t="shared" si="31"/>
        <v>50–64</v>
      </c>
    </row>
    <row r="987" spans="1:13">
      <c r="A987" t="s">
        <v>1722</v>
      </c>
      <c r="B987" t="s">
        <v>1164</v>
      </c>
      <c r="C987">
        <v>55</v>
      </c>
      <c r="D987" t="s">
        <v>19</v>
      </c>
      <c r="E987" s="2">
        <v>45817</v>
      </c>
      <c r="F987" s="2">
        <v>45825</v>
      </c>
      <c r="G987" t="s">
        <v>61</v>
      </c>
      <c r="H987" t="s">
        <v>143</v>
      </c>
      <c r="I987" s="3">
        <v>16185.6</v>
      </c>
      <c r="J987" s="4">
        <v>100</v>
      </c>
      <c r="K987" t="s">
        <v>16</v>
      </c>
      <c r="L987">
        <f t="shared" si="30"/>
        <v>8</v>
      </c>
      <c r="M987" t="str">
        <f t="shared" si="31"/>
        <v>50–64</v>
      </c>
    </row>
    <row r="988" spans="1:13">
      <c r="A988" t="s">
        <v>1723</v>
      </c>
      <c r="B988" t="s">
        <v>1356</v>
      </c>
      <c r="C988">
        <v>64</v>
      </c>
      <c r="D988" t="s">
        <v>19</v>
      </c>
      <c r="E988" s="2">
        <v>45540</v>
      </c>
      <c r="F988" s="2">
        <v>45544</v>
      </c>
      <c r="G988" t="s">
        <v>32</v>
      </c>
      <c r="H988" t="s">
        <v>36</v>
      </c>
      <c r="I988" s="3">
        <v>4017.98</v>
      </c>
      <c r="J988" s="4">
        <v>100</v>
      </c>
      <c r="K988" t="s">
        <v>16</v>
      </c>
      <c r="L988">
        <f t="shared" si="30"/>
        <v>4</v>
      </c>
      <c r="M988" t="str">
        <f t="shared" si="31"/>
        <v>50–64</v>
      </c>
    </row>
    <row r="989" spans="1:13">
      <c r="A989" t="s">
        <v>1724</v>
      </c>
      <c r="B989" t="s">
        <v>1725</v>
      </c>
      <c r="C989">
        <v>1</v>
      </c>
      <c r="D989" t="s">
        <v>19</v>
      </c>
      <c r="E989" s="2">
        <v>45893</v>
      </c>
      <c r="F989" s="2">
        <v>45895</v>
      </c>
      <c r="G989" t="s">
        <v>50</v>
      </c>
      <c r="H989" t="s">
        <v>124</v>
      </c>
      <c r="I989" s="3">
        <v>1260.77</v>
      </c>
      <c r="J989" s="4">
        <v>80</v>
      </c>
      <c r="K989" t="s">
        <v>21</v>
      </c>
      <c r="L989">
        <f t="shared" si="30"/>
        <v>2</v>
      </c>
      <c r="M989" t="str">
        <f t="shared" si="31"/>
        <v>0–17</v>
      </c>
    </row>
    <row r="990" spans="1:13">
      <c r="A990" t="s">
        <v>1726</v>
      </c>
      <c r="B990" t="s">
        <v>1727</v>
      </c>
      <c r="C990">
        <v>14</v>
      </c>
      <c r="D990" t="s">
        <v>19</v>
      </c>
      <c r="E990" s="2">
        <v>45923</v>
      </c>
      <c r="F990" s="2">
        <v>45925</v>
      </c>
      <c r="G990" t="s">
        <v>50</v>
      </c>
      <c r="H990" t="s">
        <v>379</v>
      </c>
      <c r="I990" s="3">
        <v>2626.23</v>
      </c>
      <c r="J990" s="4">
        <v>60</v>
      </c>
      <c r="K990" t="s">
        <v>21</v>
      </c>
      <c r="L990">
        <f t="shared" si="30"/>
        <v>2</v>
      </c>
      <c r="M990" t="str">
        <f t="shared" si="31"/>
        <v>0–17</v>
      </c>
    </row>
    <row r="991" spans="1:13">
      <c r="A991" t="s">
        <v>1728</v>
      </c>
      <c r="B991" t="s">
        <v>1729</v>
      </c>
      <c r="C991">
        <v>14</v>
      </c>
      <c r="D991" t="s">
        <v>13</v>
      </c>
      <c r="E991" s="2">
        <v>45484</v>
      </c>
      <c r="F991" s="2">
        <v>45485</v>
      </c>
      <c r="G991" t="s">
        <v>50</v>
      </c>
      <c r="H991" t="s">
        <v>118</v>
      </c>
      <c r="I991" s="3">
        <v>713.28</v>
      </c>
      <c r="J991" s="4">
        <v>0</v>
      </c>
      <c r="K991" t="s">
        <v>26</v>
      </c>
      <c r="L991">
        <f t="shared" si="30"/>
        <v>1</v>
      </c>
      <c r="M991" t="str">
        <f t="shared" si="31"/>
        <v>0–17</v>
      </c>
    </row>
    <row r="992" spans="1:13">
      <c r="A992" t="s">
        <v>1730</v>
      </c>
      <c r="B992" t="s">
        <v>511</v>
      </c>
      <c r="C992">
        <v>64</v>
      </c>
      <c r="D992" t="s">
        <v>19</v>
      </c>
      <c r="E992" s="2">
        <v>45592</v>
      </c>
      <c r="F992" s="2">
        <v>45596</v>
      </c>
      <c r="G992" t="s">
        <v>32</v>
      </c>
      <c r="H992" t="s">
        <v>54</v>
      </c>
      <c r="I992" s="3">
        <v>5579.15</v>
      </c>
      <c r="J992" s="4">
        <v>60</v>
      </c>
      <c r="K992" t="s">
        <v>21</v>
      </c>
      <c r="L992">
        <f t="shared" si="30"/>
        <v>4</v>
      </c>
      <c r="M992" t="str">
        <f t="shared" si="31"/>
        <v>50–64</v>
      </c>
    </row>
    <row r="993" spans="1:13">
      <c r="A993" t="s">
        <v>1731</v>
      </c>
      <c r="B993" t="s">
        <v>1732</v>
      </c>
      <c r="C993">
        <v>2</v>
      </c>
      <c r="D993" t="s">
        <v>19</v>
      </c>
      <c r="E993" s="2">
        <v>45992</v>
      </c>
      <c r="F993" s="2">
        <v>45995</v>
      </c>
      <c r="G993" t="s">
        <v>50</v>
      </c>
      <c r="H993" t="s">
        <v>131</v>
      </c>
      <c r="I993" s="3">
        <v>3033.99</v>
      </c>
      <c r="J993" s="4">
        <v>80</v>
      </c>
      <c r="K993" t="s">
        <v>16</v>
      </c>
      <c r="L993">
        <f t="shared" si="30"/>
        <v>3</v>
      </c>
      <c r="M993" t="str">
        <f t="shared" si="31"/>
        <v>0–17</v>
      </c>
    </row>
    <row r="994" spans="1:13">
      <c r="A994" t="s">
        <v>1733</v>
      </c>
      <c r="B994" t="s">
        <v>483</v>
      </c>
      <c r="C994">
        <v>43</v>
      </c>
      <c r="D994" t="s">
        <v>13</v>
      </c>
      <c r="E994" s="2">
        <v>45981</v>
      </c>
      <c r="F994" s="2">
        <v>45983</v>
      </c>
      <c r="G994" t="s">
        <v>24</v>
      </c>
      <c r="H994" t="s">
        <v>25</v>
      </c>
      <c r="I994" s="3">
        <v>4133.9399999999996</v>
      </c>
      <c r="J994" s="4">
        <v>50</v>
      </c>
      <c r="K994" t="s">
        <v>16</v>
      </c>
      <c r="L994">
        <f t="shared" si="30"/>
        <v>2</v>
      </c>
      <c r="M994" t="str">
        <f t="shared" si="31"/>
        <v>35–49</v>
      </c>
    </row>
    <row r="995" spans="1:13">
      <c r="A995" t="s">
        <v>1734</v>
      </c>
      <c r="B995" t="s">
        <v>1735</v>
      </c>
      <c r="C995">
        <v>10</v>
      </c>
      <c r="D995" t="s">
        <v>13</v>
      </c>
      <c r="E995" s="2">
        <v>45841</v>
      </c>
      <c r="F995" s="2">
        <v>45845</v>
      </c>
      <c r="G995" t="s">
        <v>50</v>
      </c>
      <c r="H995" t="s">
        <v>379</v>
      </c>
      <c r="I995" s="3">
        <v>4374.76</v>
      </c>
      <c r="J995" s="4">
        <v>90</v>
      </c>
      <c r="K995" t="s">
        <v>26</v>
      </c>
      <c r="L995">
        <f t="shared" si="30"/>
        <v>4</v>
      </c>
      <c r="M995" t="str">
        <f t="shared" si="31"/>
        <v>0–17</v>
      </c>
    </row>
    <row r="996" spans="1:13">
      <c r="A996" t="s">
        <v>1736</v>
      </c>
      <c r="B996" t="s">
        <v>1737</v>
      </c>
      <c r="C996">
        <v>51</v>
      </c>
      <c r="D996" t="s">
        <v>19</v>
      </c>
      <c r="E996" s="2">
        <v>45568</v>
      </c>
      <c r="F996" s="2">
        <v>45571</v>
      </c>
      <c r="G996" t="s">
        <v>14</v>
      </c>
      <c r="H996" t="s">
        <v>15</v>
      </c>
      <c r="I996" s="3">
        <v>7839.78</v>
      </c>
      <c r="J996" s="4">
        <v>90</v>
      </c>
      <c r="K996" t="s">
        <v>21</v>
      </c>
      <c r="L996">
        <f t="shared" si="30"/>
        <v>3</v>
      </c>
      <c r="M996" t="str">
        <f t="shared" si="31"/>
        <v>50–64</v>
      </c>
    </row>
    <row r="997" spans="1:13">
      <c r="A997" t="s">
        <v>1738</v>
      </c>
      <c r="B997" t="s">
        <v>747</v>
      </c>
      <c r="C997">
        <v>58</v>
      </c>
      <c r="D997" t="s">
        <v>13</v>
      </c>
      <c r="E997" s="2">
        <v>45817</v>
      </c>
      <c r="F997" s="2">
        <v>45821</v>
      </c>
      <c r="G997" t="s">
        <v>14</v>
      </c>
      <c r="H997" t="s">
        <v>103</v>
      </c>
      <c r="I997" s="3">
        <v>10021</v>
      </c>
      <c r="J997" s="4">
        <v>90</v>
      </c>
      <c r="K997" t="s">
        <v>16</v>
      </c>
      <c r="L997">
        <f t="shared" si="30"/>
        <v>4</v>
      </c>
      <c r="M997" t="str">
        <f t="shared" si="31"/>
        <v>50–64</v>
      </c>
    </row>
    <row r="998" spans="1:13">
      <c r="A998" t="s">
        <v>1739</v>
      </c>
      <c r="B998" t="s">
        <v>257</v>
      </c>
      <c r="C998">
        <v>75</v>
      </c>
      <c r="D998" t="s">
        <v>13</v>
      </c>
      <c r="E998" s="2">
        <v>45939</v>
      </c>
      <c r="F998" s="2">
        <v>45944</v>
      </c>
      <c r="G998" t="s">
        <v>32</v>
      </c>
      <c r="H998" t="s">
        <v>235</v>
      </c>
      <c r="I998" s="3">
        <v>6377.65</v>
      </c>
      <c r="J998" s="4">
        <v>60</v>
      </c>
      <c r="K998" t="s">
        <v>21</v>
      </c>
      <c r="L998">
        <f t="shared" si="30"/>
        <v>5</v>
      </c>
      <c r="M998" t="str">
        <f t="shared" si="31"/>
        <v>65+</v>
      </c>
    </row>
    <row r="999" spans="1:13">
      <c r="A999" t="s">
        <v>1740</v>
      </c>
      <c r="B999" t="s">
        <v>455</v>
      </c>
      <c r="C999">
        <v>32</v>
      </c>
      <c r="D999" t="s">
        <v>19</v>
      </c>
      <c r="E999" s="2">
        <v>45769</v>
      </c>
      <c r="F999" s="2">
        <v>45770</v>
      </c>
      <c r="G999" t="s">
        <v>24</v>
      </c>
      <c r="H999" t="s">
        <v>222</v>
      </c>
      <c r="I999" s="3">
        <v>1020.62</v>
      </c>
      <c r="J999" s="4">
        <v>60</v>
      </c>
      <c r="K999" t="s">
        <v>16</v>
      </c>
      <c r="L999">
        <f t="shared" si="30"/>
        <v>1</v>
      </c>
      <c r="M999" t="str">
        <f t="shared" si="31"/>
        <v>18–34</v>
      </c>
    </row>
    <row r="1000" spans="1:13">
      <c r="A1000" t="s">
        <v>1741</v>
      </c>
      <c r="B1000" t="s">
        <v>1172</v>
      </c>
      <c r="C1000">
        <v>56</v>
      </c>
      <c r="D1000" t="s">
        <v>13</v>
      </c>
      <c r="E1000" s="2">
        <v>45877</v>
      </c>
      <c r="F1000" s="2">
        <v>45878</v>
      </c>
      <c r="G1000" t="s">
        <v>24</v>
      </c>
      <c r="H1000" t="s">
        <v>83</v>
      </c>
      <c r="I1000" s="3">
        <v>2315.06</v>
      </c>
      <c r="J1000" s="4">
        <v>70</v>
      </c>
      <c r="K1000" t="s">
        <v>16</v>
      </c>
      <c r="L1000">
        <f t="shared" si="30"/>
        <v>1</v>
      </c>
      <c r="M1000" t="str">
        <f t="shared" si="31"/>
        <v>50–64</v>
      </c>
    </row>
    <row r="1001" spans="1:13">
      <c r="A1001" t="s">
        <v>1742</v>
      </c>
      <c r="B1001" t="s">
        <v>1743</v>
      </c>
      <c r="C1001">
        <v>18</v>
      </c>
      <c r="D1001" t="s">
        <v>19</v>
      </c>
      <c r="E1001" s="2">
        <v>45349</v>
      </c>
      <c r="F1001" s="2">
        <v>45353</v>
      </c>
      <c r="G1001" t="s">
        <v>32</v>
      </c>
      <c r="H1001" t="s">
        <v>88</v>
      </c>
      <c r="I1001" s="3">
        <v>2235.16</v>
      </c>
      <c r="J1001" s="4">
        <v>100</v>
      </c>
      <c r="K1001" t="s">
        <v>26</v>
      </c>
      <c r="L1001">
        <f t="shared" si="30"/>
        <v>4</v>
      </c>
      <c r="M1001" t="str">
        <f t="shared" si="31"/>
        <v>18–34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520F9-8D77-4A87-9BCB-620C5D77E739}">
  <dimension ref="A3:I38"/>
  <sheetViews>
    <sheetView workbookViewId="0">
      <selection activeCell="G3" sqref="G3"/>
    </sheetView>
  </sheetViews>
  <sheetFormatPr defaultRowHeight="15"/>
  <cols>
    <col min="1" max="1" width="15.140625" bestFit="1" customWidth="1"/>
    <col min="2" max="2" width="18.42578125" bestFit="1" customWidth="1"/>
    <col min="3" max="3" width="23.85546875" customWidth="1"/>
    <col min="4" max="4" width="15.140625" bestFit="1" customWidth="1"/>
    <col min="5" max="5" width="23.28515625" bestFit="1" customWidth="1"/>
    <col min="6" max="6" width="21.85546875" customWidth="1"/>
    <col min="7" max="7" width="17.42578125" bestFit="1" customWidth="1"/>
    <col min="8" max="8" width="18.42578125" bestFit="1" customWidth="1"/>
    <col min="9" max="9" width="11" bestFit="1" customWidth="1"/>
    <col min="10" max="10" width="15.140625" bestFit="1" customWidth="1"/>
    <col min="11" max="11" width="18.42578125" bestFit="1" customWidth="1"/>
    <col min="12" max="12" width="6.5703125" bestFit="1" customWidth="1"/>
    <col min="13" max="13" width="13.5703125" bestFit="1" customWidth="1"/>
    <col min="14" max="14" width="10.7109375" bestFit="1" customWidth="1"/>
    <col min="15" max="15" width="11.7109375" bestFit="1" customWidth="1"/>
    <col min="16" max="16" width="23.28515625" bestFit="1" customWidth="1"/>
    <col min="17" max="17" width="12.140625" bestFit="1" customWidth="1"/>
    <col min="18" max="18" width="21.5703125" bestFit="1" customWidth="1"/>
    <col min="19" max="19" width="12.42578125" bestFit="1" customWidth="1"/>
    <col min="20" max="20" width="8.7109375" bestFit="1" customWidth="1"/>
    <col min="21" max="21" width="17.5703125" bestFit="1" customWidth="1"/>
    <col min="22" max="22" width="8.42578125" bestFit="1" customWidth="1"/>
    <col min="23" max="23" width="8.7109375" bestFit="1" customWidth="1"/>
    <col min="24" max="24" width="12.5703125" bestFit="1" customWidth="1"/>
    <col min="25" max="25" width="12" bestFit="1" customWidth="1"/>
    <col min="26" max="26" width="13.42578125" bestFit="1" customWidth="1"/>
    <col min="27" max="27" width="18.28515625" bestFit="1" customWidth="1"/>
    <col min="28" max="28" width="8.7109375" bestFit="1" customWidth="1"/>
    <col min="29" max="29" width="17.42578125" bestFit="1" customWidth="1"/>
    <col min="30" max="30" width="11.5703125" bestFit="1" customWidth="1"/>
    <col min="31" max="31" width="19.28515625" bestFit="1" customWidth="1"/>
    <col min="32" max="32" width="11.140625" bestFit="1" customWidth="1"/>
    <col min="33" max="33" width="18" bestFit="1" customWidth="1"/>
    <col min="34" max="34" width="6.5703125" bestFit="1" customWidth="1"/>
    <col min="35" max="35" width="23.28515625" bestFit="1" customWidth="1"/>
    <col min="36" max="36" width="21.42578125" bestFit="1" customWidth="1"/>
    <col min="37" max="37" width="6.85546875" bestFit="1" customWidth="1"/>
    <col min="38" max="38" width="9.85546875" bestFit="1" customWidth="1"/>
    <col min="39" max="39" width="6.5703125" bestFit="1" customWidth="1"/>
    <col min="40" max="40" width="11.28515625" bestFit="1" customWidth="1"/>
    <col min="41" max="1007" width="9" bestFit="1" customWidth="1"/>
    <col min="1008" max="1008" width="11.28515625" bestFit="1" customWidth="1"/>
  </cols>
  <sheetData>
    <row r="3" spans="1:9" ht="18.75">
      <c r="B3" s="12"/>
      <c r="C3" s="12"/>
      <c r="D3" s="12" t="s">
        <v>1746</v>
      </c>
      <c r="E3" s="12"/>
      <c r="F3" s="12"/>
      <c r="G3" s="12"/>
    </row>
    <row r="4" spans="1:9">
      <c r="B4" s="11" t="s">
        <v>1747</v>
      </c>
      <c r="C4" s="11" t="s">
        <v>1748</v>
      </c>
      <c r="D4" s="11" t="s">
        <v>1749</v>
      </c>
      <c r="E4" s="11" t="s">
        <v>1750</v>
      </c>
      <c r="F4" s="11" t="s">
        <v>1767</v>
      </c>
      <c r="G4" s="11" t="s">
        <v>1776</v>
      </c>
    </row>
    <row r="5" spans="1:9">
      <c r="B5">
        <f>COUNTA('Hospital Patients'!A2:A1001)</f>
        <v>1000</v>
      </c>
      <c r="C5" s="10">
        <f>SUM('Hospital Patients'!I2:I1001)</f>
        <v>8053143.4400000013</v>
      </c>
      <c r="D5" s="6">
        <f>AVERAGE('Hospital Patients'!L2:L1001)</f>
        <v>4.8090000000000002</v>
      </c>
      <c r="E5" s="5">
        <f>(AVERAGE('Hospital Patients'!J2:J1001))/100</f>
        <v>0.74860000000000004</v>
      </c>
      <c r="F5" s="10">
        <f>SUMIF(Table1[Payment Status],'Hospital Patients'!K2,Table1[Total Bill Amount])</f>
        <v>4568527.3199999956</v>
      </c>
      <c r="G5">
        <f>COUNTA(_xlfn.UNIQUE(Table1[Patient Name]))</f>
        <v>684</v>
      </c>
      <c r="I5" s="14"/>
    </row>
    <row r="7" spans="1:9">
      <c r="A7" s="13" t="s">
        <v>1762</v>
      </c>
    </row>
    <row r="8" spans="1:9">
      <c r="A8" s="7" t="s">
        <v>1763</v>
      </c>
      <c r="B8" t="s">
        <v>1754</v>
      </c>
      <c r="D8" s="13" t="s">
        <v>1756</v>
      </c>
      <c r="G8" s="13" t="s">
        <v>1755</v>
      </c>
    </row>
    <row r="9" spans="1:9">
      <c r="A9" s="8" t="s">
        <v>1761</v>
      </c>
      <c r="B9">
        <v>153</v>
      </c>
      <c r="D9" s="7" t="s">
        <v>1763</v>
      </c>
      <c r="E9" t="s">
        <v>1753</v>
      </c>
      <c r="G9" s="7" t="s">
        <v>10</v>
      </c>
      <c r="H9" t="s">
        <v>1754</v>
      </c>
    </row>
    <row r="10" spans="1:9">
      <c r="A10" s="8" t="s">
        <v>1760</v>
      </c>
      <c r="B10">
        <v>153</v>
      </c>
      <c r="D10" s="8" t="s">
        <v>14</v>
      </c>
      <c r="E10" s="6">
        <v>6.4868421052631575</v>
      </c>
      <c r="G10" s="8" t="s">
        <v>16</v>
      </c>
      <c r="H10">
        <v>564</v>
      </c>
    </row>
    <row r="11" spans="1:9">
      <c r="A11" s="8" t="s">
        <v>1757</v>
      </c>
      <c r="B11">
        <v>216</v>
      </c>
      <c r="D11" s="8" t="s">
        <v>24</v>
      </c>
      <c r="E11" s="6">
        <v>2.0263157894736841</v>
      </c>
      <c r="G11" s="8" t="s">
        <v>26</v>
      </c>
      <c r="H11">
        <v>179</v>
      </c>
    </row>
    <row r="12" spans="1:9">
      <c r="A12" s="8" t="s">
        <v>1758</v>
      </c>
      <c r="B12">
        <v>235</v>
      </c>
      <c r="D12" s="8" t="s">
        <v>32</v>
      </c>
      <c r="E12" s="6">
        <v>3.9285714285714284</v>
      </c>
      <c r="G12" s="8" t="s">
        <v>21</v>
      </c>
      <c r="H12">
        <v>257</v>
      </c>
    </row>
    <row r="13" spans="1:9">
      <c r="A13" s="8" t="s">
        <v>1759</v>
      </c>
      <c r="B13">
        <v>243</v>
      </c>
      <c r="D13" s="8" t="s">
        <v>71</v>
      </c>
      <c r="E13" s="6">
        <v>6.9148936170212769</v>
      </c>
      <c r="G13" s="8" t="s">
        <v>1752</v>
      </c>
      <c r="H13">
        <v>1000</v>
      </c>
    </row>
    <row r="14" spans="1:9">
      <c r="D14" s="8" t="s">
        <v>61</v>
      </c>
      <c r="E14" s="6">
        <v>8.3836477987421389</v>
      </c>
    </row>
    <row r="15" spans="1:9">
      <c r="D15" s="8" t="s">
        <v>50</v>
      </c>
      <c r="E15" s="6">
        <v>3.0392156862745097</v>
      </c>
    </row>
    <row r="18" spans="1:8">
      <c r="A18" s="7" t="s">
        <v>1751</v>
      </c>
      <c r="B18" t="s">
        <v>1775</v>
      </c>
      <c r="C18" t="s">
        <v>1774</v>
      </c>
    </row>
    <row r="19" spans="1:8">
      <c r="A19" s="8" t="s">
        <v>14</v>
      </c>
      <c r="B19" s="4">
        <v>76.315789473684205</v>
      </c>
      <c r="C19">
        <v>152</v>
      </c>
      <c r="D19" t="s">
        <v>1772</v>
      </c>
    </row>
    <row r="20" spans="1:8">
      <c r="A20" s="8" t="s">
        <v>24</v>
      </c>
      <c r="B20" s="4">
        <v>76.15789473684211</v>
      </c>
      <c r="C20">
        <v>190</v>
      </c>
      <c r="D20" s="7" t="s">
        <v>1763</v>
      </c>
      <c r="E20" t="s">
        <v>1764</v>
      </c>
      <c r="G20" s="7" t="s">
        <v>1763</v>
      </c>
      <c r="H20" t="s">
        <v>1764</v>
      </c>
    </row>
    <row r="21" spans="1:8">
      <c r="A21" s="8" t="s">
        <v>32</v>
      </c>
      <c r="B21" s="4">
        <v>73.888888888888886</v>
      </c>
      <c r="C21">
        <v>252</v>
      </c>
      <c r="D21" s="8" t="s">
        <v>14</v>
      </c>
      <c r="E21" s="10">
        <v>2095437.9699999988</v>
      </c>
      <c r="G21" s="8" t="s">
        <v>1765</v>
      </c>
      <c r="H21" s="10">
        <v>4132465.3600000003</v>
      </c>
    </row>
    <row r="22" spans="1:8">
      <c r="A22" s="8" t="s">
        <v>71</v>
      </c>
      <c r="B22" s="4">
        <v>74.574468085106389</v>
      </c>
      <c r="C22">
        <v>94</v>
      </c>
      <c r="D22" s="8" t="s">
        <v>24</v>
      </c>
      <c r="E22" s="10">
        <v>622525.27999999956</v>
      </c>
      <c r="G22" s="9" t="s">
        <v>1768</v>
      </c>
      <c r="H22" s="10">
        <v>843958.47000000032</v>
      </c>
    </row>
    <row r="23" spans="1:8">
      <c r="A23" s="8" t="s">
        <v>61</v>
      </c>
      <c r="B23" s="4">
        <v>74.465408805031444</v>
      </c>
      <c r="C23">
        <v>159</v>
      </c>
      <c r="D23" s="8" t="s">
        <v>32</v>
      </c>
      <c r="E23" s="10">
        <v>993026.92000000027</v>
      </c>
      <c r="G23" s="9" t="s">
        <v>1769</v>
      </c>
      <c r="H23" s="10">
        <v>1071007.51</v>
      </c>
    </row>
    <row r="24" spans="1:8">
      <c r="A24" s="8" t="s">
        <v>50</v>
      </c>
      <c r="B24" s="4">
        <v>73.986928104575156</v>
      </c>
      <c r="C24">
        <v>153</v>
      </c>
      <c r="D24" s="8" t="s">
        <v>71</v>
      </c>
      <c r="E24" s="10">
        <v>1215302.99</v>
      </c>
      <c r="G24" s="9" t="s">
        <v>1770</v>
      </c>
      <c r="H24" s="10">
        <v>1082388.3599999994</v>
      </c>
    </row>
    <row r="25" spans="1:8">
      <c r="A25" s="8" t="s">
        <v>1752</v>
      </c>
      <c r="B25" s="4">
        <v>74.86</v>
      </c>
      <c r="C25">
        <v>1000</v>
      </c>
      <c r="D25" s="8" t="s">
        <v>61</v>
      </c>
      <c r="E25" s="10">
        <v>2553862.3200000008</v>
      </c>
      <c r="G25" s="9" t="s">
        <v>1771</v>
      </c>
      <c r="H25" s="10">
        <v>1135111.0200000003</v>
      </c>
    </row>
    <row r="26" spans="1:8">
      <c r="D26" s="8" t="s">
        <v>50</v>
      </c>
      <c r="E26" s="10">
        <v>572987.96000000031</v>
      </c>
      <c r="G26" s="8" t="s">
        <v>1766</v>
      </c>
      <c r="H26" s="10">
        <v>3920678.08</v>
      </c>
    </row>
    <row r="27" spans="1:8">
      <c r="G27" s="9" t="s">
        <v>1768</v>
      </c>
      <c r="H27" s="10">
        <v>979664.56999999948</v>
      </c>
    </row>
    <row r="28" spans="1:8">
      <c r="G28" s="9" t="s">
        <v>1769</v>
      </c>
      <c r="H28" s="10">
        <v>883087.34</v>
      </c>
    </row>
    <row r="29" spans="1:8">
      <c r="G29" s="9" t="s">
        <v>1770</v>
      </c>
      <c r="H29" s="10">
        <v>936742.03000000026</v>
      </c>
    </row>
    <row r="30" spans="1:8">
      <c r="G30" s="9" t="s">
        <v>1771</v>
      </c>
      <c r="H30" s="10">
        <v>1121184.1400000008</v>
      </c>
    </row>
    <row r="31" spans="1:8">
      <c r="D31" t="s">
        <v>1773</v>
      </c>
    </row>
    <row r="32" spans="1:8">
      <c r="D32" s="7" t="s">
        <v>1763</v>
      </c>
      <c r="E32" t="s">
        <v>1754</v>
      </c>
    </row>
    <row r="33" spans="4:8">
      <c r="D33" s="8" t="s">
        <v>14</v>
      </c>
      <c r="E33">
        <v>152</v>
      </c>
    </row>
    <row r="34" spans="4:8">
      <c r="D34" s="8" t="s">
        <v>24</v>
      </c>
      <c r="E34">
        <v>190</v>
      </c>
      <c r="G34" s="7" t="s">
        <v>10</v>
      </c>
      <c r="H34" t="s">
        <v>1754</v>
      </c>
    </row>
    <row r="35" spans="4:8">
      <c r="D35" s="8" t="s">
        <v>32</v>
      </c>
      <c r="E35">
        <v>252</v>
      </c>
      <c r="G35" s="8" t="s">
        <v>19</v>
      </c>
      <c r="H35">
        <v>512</v>
      </c>
    </row>
    <row r="36" spans="4:8">
      <c r="D36" s="8" t="s">
        <v>71</v>
      </c>
      <c r="E36">
        <v>94</v>
      </c>
      <c r="G36" s="8" t="s">
        <v>13</v>
      </c>
      <c r="H36">
        <v>488</v>
      </c>
    </row>
    <row r="37" spans="4:8">
      <c r="D37" s="8" t="s">
        <v>61</v>
      </c>
      <c r="E37">
        <v>159</v>
      </c>
    </row>
    <row r="38" spans="4:8">
      <c r="D38" s="8" t="s">
        <v>50</v>
      </c>
      <c r="E38">
        <v>153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E4B8C-83BB-427B-8A2A-BDBA4475E2E9}">
  <dimension ref="A1"/>
  <sheetViews>
    <sheetView showGridLines="0" tabSelected="1" zoomScale="33" zoomScaleNormal="33" workbookViewId="0">
      <selection activeCell="P16" sqref="P16"/>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Hospital Patients</vt:lpstr>
      <vt:lpstr>Pivot Tables</vt:lpstr>
      <vt:lpstr>Dashboard</vt:lpstr>
      <vt:lpstr>kpi_patient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Aishat Arasi</cp:lastModifiedBy>
  <dcterms:created xsi:type="dcterms:W3CDTF">2026-03-11T02:30:26Z</dcterms:created>
  <dcterms:modified xsi:type="dcterms:W3CDTF">2026-10-28T09:23:08Z</dcterms:modified>
</cp:coreProperties>
</file>